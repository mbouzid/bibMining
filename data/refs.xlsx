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mariambzd\repos\bibMining\data\"/>
    </mc:Choice>
  </mc:AlternateContent>
  <xr:revisionPtr revIDLastSave="0" documentId="13_ncr:1_{0A884931-543D-434F-83A4-079C10544483}" xr6:coauthVersionLast="47" xr6:coauthVersionMax="47" xr10:uidLastSave="{00000000-0000-0000-0000-000000000000}"/>
  <bookViews>
    <workbookView xWindow="11364" yWindow="0" windowWidth="11772" windowHeight="12336" xr2:uid="{377650F8-19B9-4377-A4DA-035DFD494C6A}"/>
  </bookViews>
  <sheets>
    <sheet name="RAW" sheetId="1" r:id="rId1"/>
    <sheet name="Map" sheetId="3" r:id="rId2"/>
  </sheets>
  <externalReferences>
    <externalReference r:id="rId3"/>
  </externalReferences>
  <definedNames>
    <definedName name="_xlnm._FilterDatabase" localSheetId="0" hidden="1">RAW!$A$1:$N$29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</calcChain>
</file>

<file path=xl/sharedStrings.xml><?xml version="1.0" encoding="utf-8"?>
<sst xmlns="http://schemas.openxmlformats.org/spreadsheetml/2006/main" count="338" uniqueCount="215">
  <si>
    <t>Year</t>
  </si>
  <si>
    <t>Location</t>
  </si>
  <si>
    <t>Title</t>
  </si>
  <si>
    <t>Authors</t>
  </si>
  <si>
    <t>Building rural community resilience: The case of gem extraction in flood-affected areas of Sri Lanka</t>
  </si>
  <si>
    <t>Sri Lanka</t>
  </si>
  <si>
    <t>Gem</t>
  </si>
  <si>
    <t>Sand;Gravel</t>
  </si>
  <si>
    <t>Ghana</t>
  </si>
  <si>
    <t>Amoako</t>
  </si>
  <si>
    <t>Karunarathne et Gress</t>
  </si>
  <si>
    <t>Emerging grassroots resilience and flood responses in informal settlements in Accra, Ghana</t>
  </si>
  <si>
    <t>Tannor et al.</t>
  </si>
  <si>
    <t>Mineral;Petroleum;Forestry</t>
  </si>
  <si>
    <t>Climate variability and extractivism exposures: Understanding household perspectives on livelihood resilience in rural Ghana</t>
  </si>
  <si>
    <t>Varea</t>
  </si>
  <si>
    <t>Mineral (iron); Quarrying</t>
  </si>
  <si>
    <t>Fiji</t>
  </si>
  <si>
    <t>Qi no tu i baba ni qwali (living down by the river): Impacts of flooding and mining on livelihoods</t>
  </si>
  <si>
    <t>Schulze</t>
  </si>
  <si>
    <t>South Africa</t>
  </si>
  <si>
    <t>Mine closure</t>
  </si>
  <si>
    <t>Investigating how climate change adaptation can be incorporated into mine closure and rehabilitation strategies to strengthen social-ecological resilience</t>
  </si>
  <si>
    <t>Irshad</t>
  </si>
  <si>
    <t>India</t>
  </si>
  <si>
    <t>Landslide risk, resilience and resistance: confronting community resilience with economic benefits in landslide-prone areas in Kerala </t>
  </si>
  <si>
    <t>Kanakis</t>
  </si>
  <si>
    <t>Australia</t>
  </si>
  <si>
    <t>Coal mining; iron ore mining; Metallic mining; Quarrying</t>
  </si>
  <si>
    <t>Mining; quarrying</t>
  </si>
  <si>
    <t xml:space="preserve">Mining community resilience explored through sustainable community development and perceptions of community wellbeing. </t>
  </si>
  <si>
    <t>Goyal</t>
  </si>
  <si>
    <t xml:space="preserve">DISASTER GOVERNANCE AND COMMUNITY RESILIENCE:  THE LAW AND THE ROLE OF SDMAs </t>
  </si>
  <si>
    <t>Illegal sand mining; quarrying</t>
  </si>
  <si>
    <t>Sharma; Franks</t>
  </si>
  <si>
    <t>Coal; Emerald</t>
  </si>
  <si>
    <t>In Situ Adaptation to Climatic Change: Mineral Industry Responses to Extreme Flooding Events in Queensland, Australia</t>
  </si>
  <si>
    <t>Bangladesh</t>
  </si>
  <si>
    <t>Limestone quarrying</t>
  </si>
  <si>
    <t>Luna et al.</t>
  </si>
  <si>
    <t>Colombia</t>
  </si>
  <si>
    <t>Gold mining</t>
  </si>
  <si>
    <t>Lessons learned from flash floods early warning system in a mountainous colombia</t>
  </si>
  <si>
    <t>Assessing the Impact of Quarrying as an Environmental Ethic Crisis: A Case Study of Limestone Mining in a Rural Community</t>
  </si>
  <si>
    <t>Kafu-Quvane; Mlaba</t>
  </si>
  <si>
    <t>Sun et al.</t>
  </si>
  <si>
    <t>China</t>
  </si>
  <si>
    <t>Coal mining</t>
  </si>
  <si>
    <t>Vulnerability Assessment of Mine Flooding Disaster Induced by Rainstorm Based on Tri-AHP</t>
  </si>
  <si>
    <t>Sustainable Water-Related Hazards Assessment in Open Pit-to-Underground Mining Transitions: An IDRR and MCDM Approach at Sijiaying Iron Mine, China</t>
  </si>
  <si>
    <t>Siddique et al.</t>
  </si>
  <si>
    <t>Iron</t>
  </si>
  <si>
    <t>Mining activities</t>
  </si>
  <si>
    <t>Climate change adaptation in Australian mining communities: comparing mining company and local government views and activities</t>
  </si>
  <si>
    <t>Impacts of climate change on the Greek mining industry: perceptions and attitudes among mining industry practitioners operating in the Cyclades</t>
  </si>
  <si>
    <t>Innovative water management using abandoned quarries for urban water supply and flood mitigation</t>
  </si>
  <si>
    <t>Loechel et al.</t>
  </si>
  <si>
    <t>Mineral</t>
  </si>
  <si>
    <t>Greece</t>
  </si>
  <si>
    <t>Mavrommatis;Damigos</t>
  </si>
  <si>
    <t>RinishaKartheeshwari et al.</t>
  </si>
  <si>
    <t>Quarry; Mine closure</t>
  </si>
  <si>
    <t>Journal</t>
  </si>
  <si>
    <t>Water</t>
  </si>
  <si>
    <t>International Journal of Environmental Research and Public Health</t>
  </si>
  <si>
    <t>Extractive Industries and Society</t>
  </si>
  <si>
    <t>Climatic Change</t>
  </si>
  <si>
    <t>Type</t>
  </si>
  <si>
    <t>Publication</t>
  </si>
  <si>
    <t>International Journal of Disaster Risk Management</t>
  </si>
  <si>
    <t>GeoJournal</t>
  </si>
  <si>
    <t>Euro-Mediterranean Journal for Environmental Integration</t>
  </si>
  <si>
    <t>Society and Natural Resources</t>
  </si>
  <si>
    <t>Environment, Development and Sustainability</t>
  </si>
  <si>
    <t>International Journal of Emergency Management</t>
  </si>
  <si>
    <t>Environmental Challenges</t>
  </si>
  <si>
    <t>Thesis</t>
  </si>
  <si>
    <t>Frontiers in Marine Science</t>
  </si>
  <si>
    <t>Sustainability</t>
  </si>
  <si>
    <t>Community-Based Participatory Research on Urban Environmental Conflicts: Sand Quarries in Northern Bogotá</t>
  </si>
  <si>
    <t>Guzman et al.</t>
  </si>
  <si>
    <t>Land</t>
  </si>
  <si>
    <t>Sand quarry</t>
  </si>
  <si>
    <t># citations</t>
  </si>
  <si>
    <t>Mining amid typhoons: Large-scale mining and typhoon vulnerability in the Philippines</t>
  </si>
  <si>
    <t>Philippines</t>
  </si>
  <si>
    <t>Holden</t>
  </si>
  <si>
    <t>Language</t>
  </si>
  <si>
    <t>English</t>
  </si>
  <si>
    <t>Minerals</t>
  </si>
  <si>
    <t>BUILDING COMMUNITY RESILIENCE IN MINE IMPACTED COMMUNITIES: A STUDY ON DELIVERY OF HEALTH SERVICES IN PAPUA NEW GUINEA</t>
  </si>
  <si>
    <t xml:space="preserve">Kuir-Ayius </t>
  </si>
  <si>
    <t>Papua New Guinea</t>
  </si>
  <si>
    <t>environmental ethics; crisis; quarrying</t>
  </si>
  <si>
    <t>Keywords</t>
  </si>
  <si>
    <t>Gem mining community resilience (GMCR); Extractive industries; Flood disasters; Gem mining; Social support network legacies; Sri Lanka</t>
  </si>
  <si>
    <t>Adaptation; Double exposure; Fringe communities; Forest zone Mining</t>
  </si>
  <si>
    <t>participatory research; participatory governance; environmental governance; SDG 11; urban</t>
  </si>
  <si>
    <t>Kerala State Disaster Management Authority; Community Resilience; Kerala floods; Vulnerability; Disaster Governance</t>
  </si>
  <si>
    <t>Flood vulnerability; Informal settlement; Adaptive capacity; Social resilience; Accra</t>
  </si>
  <si>
    <t>Mining sector; climate change ; Perceptions ; Attitudes</t>
  </si>
  <si>
    <t>adaptation; climate change; climatic variability; floods; mining; Queensland; sustainable development</t>
  </si>
  <si>
    <t>Rainfall-runoff ; Water demand ; Evaporation ; Mike 11 NAM ; Hydrological modelling</t>
  </si>
  <si>
    <t>Flash floods; Early-warning systems; Multi-hazard early warning systems; Rainfall thresholds</t>
  </si>
  <si>
    <t>Philippines; Mining; Typhoons; Climate change</t>
  </si>
  <si>
    <t>marine governance; livelihoods;  flooding; mining; Fiji; Pacific island communities</t>
  </si>
  <si>
    <t>water-related hazards; sustainable mining; open pit-to-underground transition; IDRR; MCDM; spatiotemporal modeling; SDG alignment; environmental impact assessment</t>
  </si>
  <si>
    <t>Tri-AHP; coal mine; rainstorm; well flooding; vulnerability; risk assessment; environmental sustainability</t>
  </si>
  <si>
    <t>GIS-Based Evaluation of Mining-Induced Water-Related Hazards in Pakistan and Integrated Risk Mitigation Strategies</t>
  </si>
  <si>
    <t>Li et al.</t>
  </si>
  <si>
    <t>Pakistan</t>
  </si>
  <si>
    <t>inclusive disaster risk reduction (IDRR); water-related hazards; community based approaches; local governance; water resource vulnerability; GIS-based spatial risk mapping</t>
  </si>
  <si>
    <t>Geomorphic index alterations and socioeconomic implications: A case study of a Coastal River system in Bangladesh</t>
  </si>
  <si>
    <t>Goswami et al.</t>
  </si>
  <si>
    <t>Progress in Disaster Science</t>
  </si>
  <si>
    <t>Riverbank Erosion; Accretion; Geomorphic evolution; Sinuosity index; Socioeconomic impacts; Sandhya River</t>
  </si>
  <si>
    <t>Dynamics of local impacts in low-carbon transition: Agent-based modeling of lithium mining-community-aquifer interactions in Salar de Atacama, Chile</t>
  </si>
  <si>
    <t>Liu and Agusdinata</t>
  </si>
  <si>
    <t>Chile</t>
  </si>
  <si>
    <t>Lithium mining; Agent-based model; Socio-environmental impacts; Community resilience; Resource uncertainties</t>
  </si>
  <si>
    <t>Lithium</t>
  </si>
  <si>
    <t>Desalination in Chile’s mining regions: Global drivers and local impacts of a technological fix to hydrosocial conflict</t>
  </si>
  <si>
    <t>Odell</t>
  </si>
  <si>
    <t>Journal of Cleaner Production</t>
  </si>
  <si>
    <t>Water desalination; Extractive industries; Climate change; Conflict; Political ecology; Chile</t>
  </si>
  <si>
    <t>Brazil</t>
  </si>
  <si>
    <t>Mining Communities from a Resilience Perspective: Managing Disturbance and Vulnerability in Itabira, Brazil</t>
  </si>
  <si>
    <t>Wasylycia-Leis et al.</t>
  </si>
  <si>
    <t>Environmental Management</t>
  </si>
  <si>
    <t>Mining community; Resilience; Sustainability; Governance; Disturbance; Itabira; Brazil</t>
  </si>
  <si>
    <t>DISASTER GOVERNANCE AND COMMUNITY RESILIENCE THE LAW AND THE ROLE OF SDMAs.pdf.tei</t>
  </si>
  <si>
    <t>Assessing the Impact of Quarrying as an Environmental Ethic Crisis A Case Study of Limestone Mining in a Rural Community.pdf.tei</t>
  </si>
  <si>
    <t>Building community resilience in mine impacted communities a study on delivery of heath services in papua new guinea.pdf.tei</t>
  </si>
  <si>
    <t>Building rural community resilience The case of gem extraction in.pdf.tei</t>
  </si>
  <si>
    <t>Climate variability and extractivism exposures Understanding household perspectives on livelihood resilience in rural Ghana.pdf.tei</t>
  </si>
  <si>
    <t>Community-Based Participatory Research on Urban Environmental Conflicts Sand Quarries in Northern Bogotá.pdf.tei</t>
  </si>
  <si>
    <t>Desalination in Chile's mining regions Global drivers and local impacts of a technological fix to hydrosocial conflict.pdf.tei</t>
  </si>
  <si>
    <t>TeiFile</t>
  </si>
  <si>
    <t>Dynamics of local impacts in low-carbon transition Agent-based modeling of lithium mining-community-aquifer interactions in Salar de Atacama, Chile.pdf.tei</t>
  </si>
  <si>
    <t>Emerging grassroots resilience and flood responses in informal settlements in Accra, Ghana.pdf.tei</t>
  </si>
  <si>
    <t>Geomorphic index alterations and socioeconomic implications A case study of a Coastal River system in Bangladesh.pdf.tei</t>
  </si>
  <si>
    <t>GIS-Based Evaluation of Mining-Induced Water-Related Hazards in Pakistan and Integrated Risk Mitigation Strategies.pdf.tei</t>
  </si>
  <si>
    <t>Impacts of climate change on the Greek mining industry perceptions and attitudes among mining industry practitioners operating in the Cyclades.pdf.tei</t>
  </si>
  <si>
    <t>Impacts of flooding and mining on ecosystems and livelihoods.pdf.tei</t>
  </si>
  <si>
    <t>In Situ Adaptation to Climatic Change Mineral Industry Responses to Extreme Flooding Events in Queensland Australia.pdf.tei</t>
  </si>
  <si>
    <t>Innovative water management using  abandoned quarries for urban water supply and flood mitigation.pdf.tei</t>
  </si>
  <si>
    <t>Investigating how climate changeadaptation can be incorporated into mine closure and rehabilitation strategies to strengthen social-ecological resilience.pdf.tei</t>
  </si>
  <si>
    <t>Landslide risk, resilience and resistance confronting  community resilience with economic benefits in landslide-prone areas in Kerala.pdf.tei</t>
  </si>
  <si>
    <t>Lessons learned from flash floods early warning system in a mountainous colombia.pdf.tei</t>
  </si>
  <si>
    <t>Mining amid typhoons Large-scale mining and typhoon vulnerability in the Philippines.pdf.tei</t>
  </si>
  <si>
    <t>Mining Communities from a Resilience Perspective Managing Disturbance and Vulnerability in Itabira, Brazil.pdf.tei</t>
  </si>
  <si>
    <t>Mining community resilience explored through sustainable community development and perceptions of community wellbeing..pdf.tei</t>
  </si>
  <si>
    <t>Sustainable Water-Related Hazards Assessment in Open Pit-to-Underground Mining Transitions An IDRR and MCDM Approach at Sijiaying Iron Mine, China.pdf.tei</t>
  </si>
  <si>
    <t>Vulnerability Assessment of Mine Flooding Disaster Induced by Rainstorm Based on Tri-AHP.pdf.tei</t>
  </si>
  <si>
    <t>BiblCitation</t>
  </si>
  <si>
    <t>\cite{loechel_climate_2013}</t>
  </si>
  <si>
    <t>\cite{sharma_situ_2013}</t>
  </si>
  <si>
    <t xml:space="preserve">\cite{holden_mining_2015} </t>
  </si>
  <si>
    <t>\cite{kuir-ayius_building_2016}</t>
  </si>
  <si>
    <t xml:space="preserve">\cite{amoako_emerging_2018} </t>
  </si>
  <si>
    <t>\cite{kanakis_mining_2018}</t>
  </si>
  <si>
    <t xml:space="preserve">\cite{goyal_disaster_2019} </t>
  </si>
  <si>
    <t>\cite{mavrommatis_impacts_2020}</t>
  </si>
  <si>
    <t xml:space="preserve">\cite{irshad_landslide_2021} </t>
  </si>
  <si>
    <t xml:space="preserve">\cite{odell_desalination_2021} </t>
  </si>
  <si>
    <t xml:space="preserve">\cite{tannor_climate_2022} </t>
  </si>
  <si>
    <t xml:space="preserve">\cite{varea_qi_2022} </t>
  </si>
  <si>
    <t>\cite{sun_vulnerability_2022}</t>
  </si>
  <si>
    <t>\cite{karunarathne_building_2023}</t>
  </si>
  <si>
    <t>\cite{rinishakartheeshwari_innovative_2024}</t>
  </si>
  <si>
    <t>\cite{goswami_geomorphic_2025}</t>
  </si>
  <si>
    <t>\cite{luna_lessons_2025}</t>
  </si>
  <si>
    <t>\cite{liu_dynamics_2021}</t>
  </si>
  <si>
    <t>\cite{kafu-quvane_assessing_2024}</t>
  </si>
  <si>
    <t xml:space="preserve">\cite{guzman_community-based_2024} </t>
  </si>
  <si>
    <t xml:space="preserve">\cite{siddique_sustainable_2025} </t>
  </si>
  <si>
    <t>\cite{li_gis-based_2025}</t>
  </si>
  <si>
    <t xml:space="preserve">\cite{wasylycia-leis_mining_2014} </t>
  </si>
  <si>
    <t>\cite{schulze_investigating_2023}</t>
  </si>
  <si>
    <t>Climate change adaptation in Australian mining communities comparing mining company and local government views and activities.pdf.tei</t>
  </si>
  <si>
    <t>Raw material</t>
  </si>
  <si>
    <t>An Inclusive Approach to Disaster Risk Reduction in Water-Related Hazards for the Mining Industry Prioritizing the Multi-Dimensional Risk Framework for Achieving Sustainable Development</t>
  </si>
  <si>
    <t>An Inclusive Approach to Disaster Risk Reduction in Water-Related Hazards for the Mining Industry Prioritizing the Multi-Dimensional Risk Framework for Achieving Sustainable Development.pdf.tei</t>
  </si>
  <si>
    <t>Mining sector sustainability;Water scarcity;Public–private partnerships;Risk assessment;Acid mine drainage;Groundwater depletion</t>
  </si>
  <si>
    <t>community mobility; landslide; movement; quarry industries;  resilience</t>
  </si>
  <si>
    <t>Mine Water and the Environment (</t>
  </si>
  <si>
    <t>Downstream impacts of the Madeira Hydroelectric Complex on várzea traditional agriculture and extractivism</t>
  </si>
  <si>
    <t>Lobo et al.</t>
  </si>
  <si>
    <t>Ecology and Society</t>
  </si>
  <si>
    <t>Amazon; extractivism; flood recession agriculture; hydropeaking; traditional livelihoods</t>
  </si>
  <si>
    <t>Downstream impacts of the Madeira Hydroelectric Complex on varzea traditional agriculture and extractivism.pdf.tei</t>
  </si>
  <si>
    <t>Alwin et al.</t>
  </si>
  <si>
    <t>Resilient city and flood disaster mitigation adaptation community-based in Samarinda City</t>
  </si>
  <si>
    <t>Journal of Urban Management</t>
  </si>
  <si>
    <t>Resilient city and flood disaster mitigation adaptation community-based in Samarinda City.pdf.tei</t>
  </si>
  <si>
    <t>City resilience; Community-based adaptation; Flood disaster; Rap resilience city; Urban resilience index</t>
  </si>
  <si>
    <t>Indonesia</t>
  </si>
  <si>
    <t>\cite{rachmawati2025resilient}</t>
  </si>
  <si>
    <t>\cite{lobo2025downstream}</t>
  </si>
  <si>
    <t>\cite{siddique2025inclusive}</t>
  </si>
  <si>
    <t>Bondinuba et al.</t>
  </si>
  <si>
    <t>Synthesis of Small-Scale Mining Community Flood Vulnerability and Resilience Strategy in Ghana</t>
  </si>
  <si>
    <t>Decarbonization or Demise - Sustainable Solutions for Resilient Communities Selected Papers from the International Conference of Sustainable Ecological Engineering Design for Society (SEEDS) 2023</t>
  </si>
  <si>
    <t>\cite{bondinuba2025synthesis}</t>
  </si>
  <si>
    <t>Synthesis of Small-Scale Mining Community Flood Vulnerability and Resilience Strategy in Ghana.pdf.tei</t>
  </si>
  <si>
    <t>old_TeiFile</t>
  </si>
  <si>
    <t>Investigating how climate changeadaptation can be incorporated into mine closure and rehabilitation strategies to strengthen social-ecological resilience</t>
  </si>
  <si>
    <t>Mining community resilience explored through sustainable community development and perceptions of community wellbeing</t>
  </si>
  <si>
    <t>An Inclusive Approach to Disaster Risk Reduction in Water-Related Hazards for the Mining Industry: Prioritizing the Multi-Dimensional Risk Framework for Achieving Sustainable Development</t>
  </si>
  <si>
    <t>Landslide risk, resilience and resistance: confronting community resilience with economic benefits in landslide-prone areas in Kerala</t>
  </si>
  <si>
    <t>Qi no tu i baba ni qwali (living down by the river): Impacts of flooding and mining on ecosystems and livelihoods</t>
  </si>
  <si>
    <t>Lessons learned from flash floods early warning system in a mountainous rur-urban region of Colombia</t>
  </si>
  <si>
    <t>Desalination in Chile's mining regions: Global drivers and local impacts of a technological fix to hydrosocial conflict</t>
  </si>
  <si>
    <t>DISASTER GOVERNANCE AND COMMUNITY RESILIENCE: THE LAW AND THE ROLE OF SDMAs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</si>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</sst>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9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6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4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ia\Documents\Gitlab\AguasVivas\WP1\T1.1.%20Marco%20contextual\T1.1.2.%20Revision%20de%20la%20literatura\Analisis\datos\Results-Form-Consolidated.xlsx" TargetMode="External"/><Relationship Id="rId1" Type="http://schemas.openxmlformats.org/officeDocument/2006/relationships/externalLinkPath" Target="file:///C:\Users\maria\Documents\Gitlab\AguasVivas\WP1\T1.1.%20Marco%20contextual\T1.1.2.%20Revision%20de%20la%20literatura\Analisis\datos\Results-Form-Consolidat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Data"/>
      <sheetName val="All"/>
      <sheetName val="Table"/>
      <sheetName val="RiskData"/>
      <sheetName val="ResilienceBarriers"/>
      <sheetName val="ResilienceEnablers"/>
    </sheetNames>
    <sheetDataSet>
      <sheetData sheetId="0" refreshError="1"/>
      <sheetData sheetId="1" refreshError="1"/>
      <sheetData sheetId="2">
        <row r="1">
          <cell r="E1" t="str">
            <v>Reference</v>
          </cell>
        </row>
        <row r="3">
          <cell r="E3" t="str">
            <v>\cite{holden_mining_2015}</v>
          </cell>
        </row>
        <row r="4">
          <cell r="E4" t="str">
            <v>\cite{luna_lessons_2025}</v>
          </cell>
        </row>
        <row r="5">
          <cell r="E5" t="str">
            <v>\cite{sun_vulnerability_2022}</v>
          </cell>
        </row>
        <row r="6">
          <cell r="E6" t="str">
            <v>\cite{luna_lessons_2025}</v>
          </cell>
        </row>
        <row r="8">
          <cell r="E8" t="str">
            <v>\cite{irshad_landslide_2021}</v>
          </cell>
        </row>
        <row r="9">
          <cell r="E9" t="str">
            <v>\cite{loechel_climate_2013}</v>
          </cell>
        </row>
        <row r="10">
          <cell r="E10" t="str">
            <v>\cite{mavrommatis_impacts_2020}</v>
          </cell>
        </row>
        <row r="11">
          <cell r="E11" t="str">
            <v>\cite{luna_lessons_2025}</v>
          </cell>
        </row>
        <row r="12">
          <cell r="E12" t="str">
            <v>\cite{rinishakartheeshwari_innovative_2024}</v>
          </cell>
        </row>
        <row r="13">
          <cell r="E13" t="str">
            <v>\cite{lobo2025downstream}</v>
          </cell>
        </row>
        <row r="15">
          <cell r="E15" t="str">
            <v>\cite{goyal_disaster_2019}</v>
          </cell>
        </row>
        <row r="16">
          <cell r="E16" t="str">
            <v>\cite{karunarathne_building_2023}</v>
          </cell>
        </row>
        <row r="17">
          <cell r="E17" t="str">
            <v>\cite{luna_lessons_2025}</v>
          </cell>
        </row>
        <row r="18">
          <cell r="E18" t="str">
            <v>\cite{rachmawati2025resilient}</v>
          </cell>
        </row>
        <row r="20">
          <cell r="E20" t="str">
            <v>\cite{varea_qi_2022}</v>
          </cell>
        </row>
        <row r="22">
          <cell r="E22" t="str">
            <v>\cite{holden_mining_2015}</v>
          </cell>
        </row>
        <row r="23">
          <cell r="E23" t="str">
            <v xml:space="preserve">\cite{varea_qi_2022} </v>
          </cell>
        </row>
        <row r="24">
          <cell r="E24" t="str">
            <v>\cite{siddique2025inclusive}</v>
          </cell>
        </row>
        <row r="26">
          <cell r="E26" t="str">
            <v>\cite{tannor_climate_2022}</v>
          </cell>
        </row>
        <row r="27">
          <cell r="E27" t="str">
            <v>\cite{li_gis-based_2025}</v>
          </cell>
        </row>
        <row r="28">
          <cell r="E28" t="str">
            <v>\cite{sharma_situ_2013}</v>
          </cell>
        </row>
        <row r="29">
          <cell r="E29" t="str">
            <v xml:space="preserve">\cite{odell_desalination_2021} </v>
          </cell>
        </row>
        <row r="30">
          <cell r="E30" t="str">
            <v xml:space="preserve">\cite{guzman_community-based_2024} </v>
          </cell>
        </row>
        <row r="31">
          <cell r="E31" t="str">
            <v xml:space="preserve">\cite{siddique_sustainable_2025} </v>
          </cell>
        </row>
        <row r="32">
          <cell r="E32" t="str">
            <v>\cite{li_gis-based_2025}</v>
          </cell>
        </row>
        <row r="34">
          <cell r="E34" t="str">
            <v>\cite{karunarathne_building_2023}</v>
          </cell>
        </row>
        <row r="35">
          <cell r="E35" t="str">
            <v xml:space="preserve">\cite{varea_qi_2022} </v>
          </cell>
        </row>
        <row r="37">
          <cell r="E37" t="str">
            <v>\cite{varea_qi_2022}</v>
          </cell>
        </row>
        <row r="38">
          <cell r="E38" t="str">
            <v xml:space="preserve">\cite{amoako_emerging_2018} </v>
          </cell>
        </row>
        <row r="39">
          <cell r="E39" t="str">
            <v>\cite{goyal_disaster_2019}</v>
          </cell>
        </row>
        <row r="41">
          <cell r="E41" t="str">
            <v>\cite{irshad_landslide_2021}</v>
          </cell>
        </row>
        <row r="43">
          <cell r="E43" t="str">
            <v>\cite{tannor_climate_2022}</v>
          </cell>
        </row>
        <row r="44">
          <cell r="E44" t="str">
            <v>\cite{tannor_climate_2022}</v>
          </cell>
        </row>
        <row r="45">
          <cell r="E45" t="str">
            <v>\cite{goyal_disaster_2019}</v>
          </cell>
        </row>
        <row r="48">
          <cell r="E48" t="str">
            <v>\cite{luna_lessons_2025}</v>
          </cell>
        </row>
        <row r="49">
          <cell r="E49" t="str">
            <v>\cite{irshad_landslide_2021}</v>
          </cell>
        </row>
        <row r="50">
          <cell r="E50" t="str">
            <v>\cite{rachmawati2025resilient}</v>
          </cell>
        </row>
        <row r="51">
          <cell r="E51" t="str">
            <v>\cite{tannor_climate_2022}</v>
          </cell>
        </row>
        <row r="52">
          <cell r="E52" t="str">
            <v>\cite{mavrommatis_impacts_2020}</v>
          </cell>
        </row>
        <row r="53">
          <cell r="E53" t="str">
            <v>\cite{liu_dynamics_2021}</v>
          </cell>
        </row>
        <row r="55">
          <cell r="E55" t="str">
            <v>\cite{schulze_investigating_2023}</v>
          </cell>
        </row>
        <row r="56">
          <cell r="E56" t="str">
            <v>\cite{kanakis_mining_2018}</v>
          </cell>
        </row>
        <row r="57">
          <cell r="E57" t="str">
            <v>\cite{rachmawati2025resilient}, \cite{bondinuba2025synthesis}</v>
          </cell>
        </row>
        <row r="58">
          <cell r="E58" t="str">
            <v>\cite{li_gis-based_2025}</v>
          </cell>
        </row>
        <row r="59">
          <cell r="E59" t="str">
            <v xml:space="preserve">\cite{holden_mining_2015} </v>
          </cell>
        </row>
        <row r="61">
          <cell r="E61" t="str">
            <v>\cite{holden_mining_2015}</v>
          </cell>
        </row>
        <row r="63">
          <cell r="E63" t="str">
            <v>\cite{goyal_disaster_2019}</v>
          </cell>
        </row>
        <row r="64">
          <cell r="E64" t="str">
            <v>\cite{varea_qi_2022}</v>
          </cell>
        </row>
        <row r="65">
          <cell r="E65" t="str">
            <v>\cite{kuir-ayius_building_2016}</v>
          </cell>
        </row>
        <row r="67">
          <cell r="E67" t="str">
            <v>\cite{li_gis-based_2025},\cite{siddique2025inclusive}</v>
          </cell>
        </row>
        <row r="69">
          <cell r="E69" t="str">
            <v>\cite{loechel_climate_2013}</v>
          </cell>
        </row>
        <row r="70">
          <cell r="E70" t="str">
            <v>\cite{tannor_climate_2022}</v>
          </cell>
        </row>
        <row r="71">
          <cell r="E71" t="str">
            <v xml:space="preserve">\cite{wasylycia-leis_mining_2014} </v>
          </cell>
        </row>
        <row r="72">
          <cell r="E72" t="str">
            <v>\cite{sharma_situ_2013}</v>
          </cell>
        </row>
        <row r="73">
          <cell r="E73" t="str">
            <v xml:space="preserve">\cite{siddique_sustainable_2025} </v>
          </cell>
        </row>
        <row r="75">
          <cell r="E75" t="str">
            <v>\cite{tannor_climate_2022}</v>
          </cell>
        </row>
        <row r="77">
          <cell r="E77" t="str">
            <v xml:space="preserve">\cite{guzman_community-based_2024} </v>
          </cell>
        </row>
        <row r="78">
          <cell r="E78" t="str">
            <v>\cite{li_gis-based_2025}</v>
          </cell>
        </row>
        <row r="79">
          <cell r="E79" t="str">
            <v xml:space="preserve">\cite{wasylycia-leis_mining_2014} </v>
          </cell>
        </row>
        <row r="80">
          <cell r="E80" t="str">
            <v xml:space="preserve">\cite{wasylycia-leis_mining_2014} </v>
          </cell>
        </row>
        <row r="81">
          <cell r="E81" t="str">
            <v>\cite{kafu-quvane_assessing_2024}</v>
          </cell>
        </row>
        <row r="82">
          <cell r="E82" t="str">
            <v>\cite{li_gis-based_2025}</v>
          </cell>
        </row>
        <row r="84">
          <cell r="E84" t="str">
            <v>\cite{varea_qi_2022}</v>
          </cell>
        </row>
        <row r="85">
          <cell r="E85" t="str">
            <v xml:space="preserve">\cite{tannor_climate_2022} </v>
          </cell>
        </row>
        <row r="86">
          <cell r="E86" t="str">
            <v>\cite{schulze_investigating_2023}</v>
          </cell>
        </row>
        <row r="88">
          <cell r="E88" t="str">
            <v>\cite{karunarathne_building_2023}</v>
          </cell>
        </row>
        <row r="90">
          <cell r="E90" t="str">
            <v>\cite{goswami_geomorphic_2025}</v>
          </cell>
        </row>
        <row r="92">
          <cell r="E92" t="str">
            <v>\cite{bondinuba2025synthesis}</v>
          </cell>
        </row>
        <row r="93">
          <cell r="E93" t="str">
            <v xml:space="preserve">\cite{siddique_sustainable_2025} </v>
          </cell>
        </row>
        <row r="94">
          <cell r="E94" t="str">
            <v>\cite{liu_dynamics_2021}</v>
          </cell>
        </row>
        <row r="95">
          <cell r="E95" t="str">
            <v>\cite{li_gis-based_2025}</v>
          </cell>
        </row>
        <row r="96">
          <cell r="E96" t="str">
            <v>\cite{goyal_disaster_2019}</v>
          </cell>
        </row>
        <row r="98">
          <cell r="E98" t="str">
            <v xml:space="preserve">\cite{tannor_climate_2022} </v>
          </cell>
        </row>
        <row r="100">
          <cell r="E100" t="str">
            <v xml:space="preserve">\cite{varea_qi_2022} </v>
          </cell>
        </row>
        <row r="101">
          <cell r="E101" t="str">
            <v>\cite{lobo2025downstream}</v>
          </cell>
        </row>
        <row r="103">
          <cell r="E103" t="str">
            <v>\cite{goswami_geomorphic_2025}</v>
          </cell>
        </row>
        <row r="104">
          <cell r="E104" t="str">
            <v>\cite{li_gis-based_2025}</v>
          </cell>
        </row>
        <row r="105">
          <cell r="E105" t="str">
            <v>\cite{goswami_geomorphic_2025}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6EBB6-5C58-44AD-B342-EE74F3AC3D94}">
  <dimension ref="A1:N29"/>
  <sheetViews>
    <sheetView tabSelected="1" workbookViewId="0">
      <selection activeCell="B13" sqref="B13"/>
    </sheetView>
  </sheetViews>
  <sheetFormatPr baseColWidth="10" defaultRowHeight="14.4" x14ac:dyDescent="0.3"/>
  <cols>
    <col min="2" max="2" width="33.44140625" style="7" customWidth="1"/>
    <col min="3" max="3" width="19.5546875" customWidth="1"/>
    <col min="5" max="5" width="18.77734375" customWidth="1"/>
    <col min="6" max="6" width="16.33203125" customWidth="1"/>
    <col min="7" max="7" width="7.5546875" customWidth="1"/>
    <col min="8" max="8" width="10.44140625" customWidth="1"/>
    <col min="9" max="9" width="9.44140625" customWidth="1"/>
    <col min="10" max="10" width="7.33203125" customWidth="1"/>
    <col min="11" max="11" width="14.109375" customWidth="1"/>
    <col min="12" max="12" width="15" customWidth="1"/>
    <col min="13" max="13" width="15" style="7" customWidth="1"/>
  </cols>
  <sheetData>
    <row r="1" spans="1:14" x14ac:dyDescent="0.3">
      <c r="A1" t="s">
        <v>214</v>
      </c>
      <c r="B1" s="5" t="s">
        <v>2</v>
      </c>
      <c r="C1" s="2" t="s">
        <v>3</v>
      </c>
      <c r="D1" s="2" t="s">
        <v>0</v>
      </c>
      <c r="E1" s="2" t="s">
        <v>62</v>
      </c>
      <c r="F1" s="2" t="s">
        <v>67</v>
      </c>
      <c r="G1" s="2" t="s">
        <v>83</v>
      </c>
      <c r="H1" s="2" t="s">
        <v>1</v>
      </c>
      <c r="I1" s="2" t="s">
        <v>52</v>
      </c>
      <c r="J1" s="2" t="s">
        <v>87</v>
      </c>
      <c r="K1" s="2" t="s">
        <v>94</v>
      </c>
      <c r="L1" s="2" t="s">
        <v>205</v>
      </c>
      <c r="M1" s="5" t="s">
        <v>137</v>
      </c>
      <c r="N1" s="2" t="s">
        <v>154</v>
      </c>
    </row>
    <row r="2" spans="1:14" x14ac:dyDescent="0.3">
      <c r="A2">
        <v>1</v>
      </c>
      <c r="B2" s="6" t="s">
        <v>53</v>
      </c>
      <c r="C2" s="1" t="s">
        <v>56</v>
      </c>
      <c r="D2">
        <v>2013</v>
      </c>
      <c r="E2" t="s">
        <v>66</v>
      </c>
      <c r="F2" t="s">
        <v>68</v>
      </c>
      <c r="G2">
        <v>67</v>
      </c>
      <c r="H2" t="s">
        <v>27</v>
      </c>
      <c r="I2" t="s">
        <v>57</v>
      </c>
      <c r="J2" t="s">
        <v>88</v>
      </c>
      <c r="K2" t="s">
        <v>96</v>
      </c>
      <c r="L2" s="1" t="s">
        <v>179</v>
      </c>
      <c r="M2" s="12" t="s">
        <v>53</v>
      </c>
      <c r="N2" t="s">
        <v>155</v>
      </c>
    </row>
    <row r="3" spans="1:14" x14ac:dyDescent="0.3">
      <c r="A3">
        <v>2</v>
      </c>
      <c r="B3" s="8" t="s">
        <v>84</v>
      </c>
      <c r="C3" t="s">
        <v>86</v>
      </c>
      <c r="D3">
        <v>2015</v>
      </c>
      <c r="E3" t="s">
        <v>65</v>
      </c>
      <c r="F3" t="s">
        <v>68</v>
      </c>
      <c r="G3">
        <v>50</v>
      </c>
      <c r="H3" t="s">
        <v>85</v>
      </c>
      <c r="I3" t="s">
        <v>89</v>
      </c>
      <c r="J3" t="s">
        <v>88</v>
      </c>
      <c r="K3" t="s">
        <v>104</v>
      </c>
      <c r="L3" s="4" t="s">
        <v>149</v>
      </c>
      <c r="M3" s="11" t="s">
        <v>84</v>
      </c>
      <c r="N3" t="s">
        <v>157</v>
      </c>
    </row>
    <row r="4" spans="1:14" x14ac:dyDescent="0.3">
      <c r="A4">
        <v>3</v>
      </c>
      <c r="B4" s="8" t="s">
        <v>32</v>
      </c>
      <c r="C4" t="s">
        <v>31</v>
      </c>
      <c r="D4">
        <v>2019</v>
      </c>
      <c r="E4" t="s">
        <v>69</v>
      </c>
      <c r="F4" t="s">
        <v>68</v>
      </c>
      <c r="G4">
        <v>63</v>
      </c>
      <c r="H4" t="s">
        <v>24</v>
      </c>
      <c r="I4" t="s">
        <v>33</v>
      </c>
      <c r="J4" t="s">
        <v>88</v>
      </c>
      <c r="K4" t="s">
        <v>98</v>
      </c>
      <c r="L4" s="4" t="s">
        <v>130</v>
      </c>
      <c r="M4" s="11" t="s">
        <v>213</v>
      </c>
      <c r="N4" t="s">
        <v>161</v>
      </c>
    </row>
    <row r="5" spans="1:14" x14ac:dyDescent="0.3">
      <c r="A5">
        <v>4</v>
      </c>
      <c r="B5" s="8" t="s">
        <v>25</v>
      </c>
      <c r="C5" t="s">
        <v>23</v>
      </c>
      <c r="D5">
        <v>2021</v>
      </c>
      <c r="E5" t="s">
        <v>74</v>
      </c>
      <c r="F5" t="s">
        <v>68</v>
      </c>
      <c r="G5">
        <v>2</v>
      </c>
      <c r="H5" t="s">
        <v>24</v>
      </c>
      <c r="I5" t="s">
        <v>29</v>
      </c>
      <c r="J5" t="s">
        <v>88</v>
      </c>
      <c r="K5" t="s">
        <v>184</v>
      </c>
      <c r="L5" s="4" t="s">
        <v>147</v>
      </c>
      <c r="M5" s="11" t="s">
        <v>209</v>
      </c>
      <c r="N5" t="s">
        <v>163</v>
      </c>
    </row>
    <row r="6" spans="1:14" x14ac:dyDescent="0.3">
      <c r="A6">
        <v>5</v>
      </c>
      <c r="B6" s="6" t="s">
        <v>14</v>
      </c>
      <c r="C6" t="s">
        <v>12</v>
      </c>
      <c r="D6">
        <v>2022</v>
      </c>
      <c r="E6" t="s">
        <v>65</v>
      </c>
      <c r="F6" t="s">
        <v>68</v>
      </c>
      <c r="G6">
        <v>9</v>
      </c>
      <c r="H6" t="s">
        <v>8</v>
      </c>
      <c r="I6" t="s">
        <v>13</v>
      </c>
      <c r="J6" t="s">
        <v>88</v>
      </c>
      <c r="L6" s="1" t="s">
        <v>134</v>
      </c>
      <c r="M6" s="12" t="s">
        <v>14</v>
      </c>
      <c r="N6" t="s">
        <v>165</v>
      </c>
    </row>
    <row r="7" spans="1:14" x14ac:dyDescent="0.3">
      <c r="A7">
        <v>6</v>
      </c>
      <c r="B7" s="8" t="s">
        <v>18</v>
      </c>
      <c r="C7" t="s">
        <v>15</v>
      </c>
      <c r="D7">
        <v>2022</v>
      </c>
      <c r="E7" t="s">
        <v>77</v>
      </c>
      <c r="F7" t="s">
        <v>68</v>
      </c>
      <c r="G7">
        <v>8</v>
      </c>
      <c r="H7" t="s">
        <v>17</v>
      </c>
      <c r="I7" t="s">
        <v>16</v>
      </c>
      <c r="J7" t="s">
        <v>88</v>
      </c>
      <c r="K7" t="s">
        <v>105</v>
      </c>
      <c r="L7" s="4" t="s">
        <v>143</v>
      </c>
      <c r="M7" s="11" t="s">
        <v>210</v>
      </c>
      <c r="N7" t="s">
        <v>166</v>
      </c>
    </row>
    <row r="8" spans="1:14" x14ac:dyDescent="0.3">
      <c r="A8">
        <v>7</v>
      </c>
      <c r="B8" s="6" t="s">
        <v>48</v>
      </c>
      <c r="C8" t="s">
        <v>45</v>
      </c>
      <c r="D8">
        <v>2022</v>
      </c>
      <c r="E8" t="s">
        <v>63</v>
      </c>
      <c r="F8" t="s">
        <v>68</v>
      </c>
      <c r="G8">
        <v>5</v>
      </c>
      <c r="H8" t="s">
        <v>46</v>
      </c>
      <c r="I8" t="s">
        <v>47</v>
      </c>
      <c r="J8" t="s">
        <v>88</v>
      </c>
      <c r="K8" t="s">
        <v>107</v>
      </c>
      <c r="L8" s="1" t="s">
        <v>153</v>
      </c>
      <c r="M8" s="12" t="s">
        <v>48</v>
      </c>
      <c r="N8" t="s">
        <v>167</v>
      </c>
    </row>
    <row r="9" spans="1:14" x14ac:dyDescent="0.3">
      <c r="A9">
        <v>8</v>
      </c>
      <c r="B9" s="6" t="s">
        <v>4</v>
      </c>
      <c r="C9" s="1" t="s">
        <v>10</v>
      </c>
      <c r="D9">
        <v>2023</v>
      </c>
      <c r="E9" t="s">
        <v>65</v>
      </c>
      <c r="F9" t="s">
        <v>68</v>
      </c>
      <c r="G9">
        <v>3</v>
      </c>
      <c r="H9" t="s">
        <v>5</v>
      </c>
      <c r="I9" t="s">
        <v>6</v>
      </c>
      <c r="J9" t="s">
        <v>88</v>
      </c>
      <c r="K9" t="s">
        <v>95</v>
      </c>
      <c r="L9" s="1" t="s">
        <v>133</v>
      </c>
      <c r="M9" s="12" t="s">
        <v>4</v>
      </c>
      <c r="N9" t="s">
        <v>168</v>
      </c>
    </row>
    <row r="10" spans="1:14" x14ac:dyDescent="0.3">
      <c r="A10">
        <v>9</v>
      </c>
      <c r="B10" s="8" t="s">
        <v>79</v>
      </c>
      <c r="C10" t="s">
        <v>80</v>
      </c>
      <c r="D10">
        <v>2024</v>
      </c>
      <c r="E10" t="s">
        <v>81</v>
      </c>
      <c r="F10" t="s">
        <v>68</v>
      </c>
      <c r="G10">
        <v>4</v>
      </c>
      <c r="H10" t="s">
        <v>40</v>
      </c>
      <c r="I10" t="s">
        <v>82</v>
      </c>
      <c r="J10" t="s">
        <v>88</v>
      </c>
      <c r="K10" t="s">
        <v>97</v>
      </c>
      <c r="L10" s="4" t="s">
        <v>135</v>
      </c>
      <c r="M10" s="11" t="s">
        <v>79</v>
      </c>
      <c r="N10" t="s">
        <v>174</v>
      </c>
    </row>
    <row r="11" spans="1:14" x14ac:dyDescent="0.3">
      <c r="A11">
        <v>10</v>
      </c>
      <c r="B11" s="7" t="s">
        <v>108</v>
      </c>
      <c r="C11" t="s">
        <v>109</v>
      </c>
      <c r="D11">
        <v>2025</v>
      </c>
      <c r="E11" t="s">
        <v>63</v>
      </c>
      <c r="F11" t="s">
        <v>68</v>
      </c>
      <c r="G11">
        <v>0</v>
      </c>
      <c r="H11" t="s">
        <v>110</v>
      </c>
      <c r="J11" t="s">
        <v>88</v>
      </c>
      <c r="K11" t="s">
        <v>111</v>
      </c>
      <c r="L11" s="3" t="s">
        <v>141</v>
      </c>
      <c r="M11" s="10" t="s">
        <v>108</v>
      </c>
      <c r="N11" t="s">
        <v>176</v>
      </c>
    </row>
    <row r="12" spans="1:14" x14ac:dyDescent="0.3">
      <c r="A12">
        <v>11</v>
      </c>
      <c r="B12" s="8" t="s">
        <v>42</v>
      </c>
      <c r="C12" t="s">
        <v>39</v>
      </c>
      <c r="D12">
        <v>2025</v>
      </c>
      <c r="E12" t="s">
        <v>75</v>
      </c>
      <c r="F12" t="s">
        <v>68</v>
      </c>
      <c r="G12">
        <v>0</v>
      </c>
      <c r="H12" t="s">
        <v>40</v>
      </c>
      <c r="I12" t="s">
        <v>41</v>
      </c>
      <c r="J12" t="s">
        <v>88</v>
      </c>
      <c r="K12" t="s">
        <v>103</v>
      </c>
      <c r="L12" s="4" t="s">
        <v>148</v>
      </c>
      <c r="M12" s="11" t="s">
        <v>211</v>
      </c>
      <c r="N12" t="s">
        <v>171</v>
      </c>
    </row>
    <row r="13" spans="1:14" x14ac:dyDescent="0.3">
      <c r="A13">
        <v>12</v>
      </c>
      <c r="B13" s="8" t="s">
        <v>49</v>
      </c>
      <c r="C13" t="s">
        <v>50</v>
      </c>
      <c r="D13">
        <v>2025</v>
      </c>
      <c r="E13" t="s">
        <v>78</v>
      </c>
      <c r="F13" t="s">
        <v>68</v>
      </c>
      <c r="G13">
        <v>2</v>
      </c>
      <c r="H13" t="s">
        <v>46</v>
      </c>
      <c r="I13" t="s">
        <v>51</v>
      </c>
      <c r="J13" t="s">
        <v>88</v>
      </c>
      <c r="K13" t="s">
        <v>106</v>
      </c>
      <c r="L13" s="4" t="s">
        <v>152</v>
      </c>
      <c r="M13" s="11" t="s">
        <v>49</v>
      </c>
      <c r="N13" t="s">
        <v>175</v>
      </c>
    </row>
    <row r="14" spans="1:14" x14ac:dyDescent="0.3">
      <c r="A14">
        <v>13</v>
      </c>
      <c r="B14" s="7" t="s">
        <v>112</v>
      </c>
      <c r="C14" t="s">
        <v>113</v>
      </c>
      <c r="D14">
        <v>2025</v>
      </c>
      <c r="E14" t="s">
        <v>114</v>
      </c>
      <c r="F14" t="s">
        <v>68</v>
      </c>
      <c r="G14">
        <v>2</v>
      </c>
      <c r="H14" t="s">
        <v>37</v>
      </c>
      <c r="J14" t="s">
        <v>88</v>
      </c>
      <c r="K14" t="s">
        <v>115</v>
      </c>
      <c r="L14" s="3" t="s">
        <v>140</v>
      </c>
      <c r="M14" s="10" t="s">
        <v>112</v>
      </c>
      <c r="N14" t="s">
        <v>170</v>
      </c>
    </row>
    <row r="15" spans="1:14" x14ac:dyDescent="0.3">
      <c r="A15">
        <v>14</v>
      </c>
      <c r="B15" s="8" t="s">
        <v>22</v>
      </c>
      <c r="C15" t="s">
        <v>19</v>
      </c>
      <c r="D15">
        <v>2023</v>
      </c>
      <c r="F15" t="s">
        <v>76</v>
      </c>
      <c r="H15" t="s">
        <v>20</v>
      </c>
      <c r="I15" t="s">
        <v>21</v>
      </c>
      <c r="J15" t="s">
        <v>88</v>
      </c>
      <c r="L15" s="4" t="s">
        <v>146</v>
      </c>
      <c r="M15" s="11" t="s">
        <v>206</v>
      </c>
      <c r="N15" t="s">
        <v>178</v>
      </c>
    </row>
    <row r="16" spans="1:14" x14ac:dyDescent="0.3">
      <c r="A16">
        <v>15</v>
      </c>
      <c r="B16" s="8" t="s">
        <v>43</v>
      </c>
      <c r="C16" t="s">
        <v>44</v>
      </c>
      <c r="D16">
        <v>2024</v>
      </c>
      <c r="E16" t="s">
        <v>64</v>
      </c>
      <c r="F16" t="s">
        <v>68</v>
      </c>
      <c r="G16">
        <v>13</v>
      </c>
      <c r="H16" t="s">
        <v>20</v>
      </c>
      <c r="I16" t="s">
        <v>38</v>
      </c>
      <c r="J16" t="s">
        <v>88</v>
      </c>
      <c r="K16" t="s">
        <v>93</v>
      </c>
      <c r="L16" s="4" t="s">
        <v>131</v>
      </c>
      <c r="M16" s="11" t="s">
        <v>43</v>
      </c>
      <c r="N16" t="s">
        <v>173</v>
      </c>
    </row>
    <row r="17" spans="1:14" x14ac:dyDescent="0.3">
      <c r="A17">
        <v>16</v>
      </c>
      <c r="B17" s="6" t="s">
        <v>36</v>
      </c>
      <c r="C17" t="s">
        <v>34</v>
      </c>
      <c r="D17">
        <v>2013</v>
      </c>
      <c r="E17" t="s">
        <v>72</v>
      </c>
      <c r="F17" t="s">
        <v>68</v>
      </c>
      <c r="G17">
        <v>36</v>
      </c>
      <c r="H17" t="s">
        <v>27</v>
      </c>
      <c r="I17" t="s">
        <v>35</v>
      </c>
      <c r="J17" t="s">
        <v>88</v>
      </c>
      <c r="K17" t="s">
        <v>101</v>
      </c>
      <c r="L17" s="1" t="s">
        <v>144</v>
      </c>
      <c r="M17" s="12" t="s">
        <v>36</v>
      </c>
      <c r="N17" t="s">
        <v>156</v>
      </c>
    </row>
    <row r="18" spans="1:14" x14ac:dyDescent="0.3">
      <c r="A18">
        <v>17</v>
      </c>
      <c r="B18" s="8" t="s">
        <v>11</v>
      </c>
      <c r="C18" t="s">
        <v>9</v>
      </c>
      <c r="D18">
        <v>2017</v>
      </c>
      <c r="E18" t="s">
        <v>70</v>
      </c>
      <c r="F18" t="s">
        <v>68</v>
      </c>
      <c r="G18">
        <v>82</v>
      </c>
      <c r="H18" t="s">
        <v>8</v>
      </c>
      <c r="I18" t="s">
        <v>7</v>
      </c>
      <c r="J18" t="s">
        <v>88</v>
      </c>
      <c r="K18" t="s">
        <v>99</v>
      </c>
      <c r="L18" s="4" t="s">
        <v>139</v>
      </c>
      <c r="M18" s="11" t="s">
        <v>11</v>
      </c>
      <c r="N18" t="s">
        <v>159</v>
      </c>
    </row>
    <row r="19" spans="1:14" x14ac:dyDescent="0.3">
      <c r="A19">
        <v>18</v>
      </c>
      <c r="B19" s="6" t="s">
        <v>55</v>
      </c>
      <c r="C19" t="s">
        <v>60</v>
      </c>
      <c r="D19">
        <v>2024</v>
      </c>
      <c r="E19" t="s">
        <v>73</v>
      </c>
      <c r="F19" t="s">
        <v>68</v>
      </c>
      <c r="G19">
        <v>3</v>
      </c>
      <c r="H19" t="s">
        <v>24</v>
      </c>
      <c r="I19" t="s">
        <v>61</v>
      </c>
      <c r="J19" t="s">
        <v>88</v>
      </c>
      <c r="K19" t="s">
        <v>102</v>
      </c>
      <c r="L19" s="1" t="s">
        <v>145</v>
      </c>
      <c r="M19" s="12" t="s">
        <v>55</v>
      </c>
      <c r="N19" t="s">
        <v>169</v>
      </c>
    </row>
    <row r="20" spans="1:14" x14ac:dyDescent="0.3">
      <c r="A20">
        <v>19</v>
      </c>
      <c r="B20" s="8" t="s">
        <v>54</v>
      </c>
      <c r="C20" t="s">
        <v>59</v>
      </c>
      <c r="D20">
        <v>2020</v>
      </c>
      <c r="E20" t="s">
        <v>71</v>
      </c>
      <c r="F20" t="s">
        <v>68</v>
      </c>
      <c r="G20">
        <v>12</v>
      </c>
      <c r="H20" t="s">
        <v>58</v>
      </c>
      <c r="I20" t="s">
        <v>57</v>
      </c>
      <c r="J20" t="s">
        <v>88</v>
      </c>
      <c r="K20" t="s">
        <v>100</v>
      </c>
      <c r="L20" s="4" t="s">
        <v>142</v>
      </c>
      <c r="M20" s="11" t="s">
        <v>54</v>
      </c>
      <c r="N20" t="s">
        <v>162</v>
      </c>
    </row>
    <row r="21" spans="1:14" x14ac:dyDescent="0.3">
      <c r="A21">
        <v>20</v>
      </c>
      <c r="B21" s="7" t="s">
        <v>126</v>
      </c>
      <c r="C21" t="s">
        <v>127</v>
      </c>
      <c r="D21">
        <v>2014</v>
      </c>
      <c r="E21" t="s">
        <v>128</v>
      </c>
      <c r="F21" t="s">
        <v>68</v>
      </c>
      <c r="G21">
        <v>58</v>
      </c>
      <c r="H21" t="s">
        <v>125</v>
      </c>
      <c r="I21" t="s">
        <v>51</v>
      </c>
      <c r="J21" t="s">
        <v>88</v>
      </c>
      <c r="K21" t="s">
        <v>129</v>
      </c>
      <c r="L21" s="3" t="s">
        <v>150</v>
      </c>
      <c r="M21" s="10" t="s">
        <v>126</v>
      </c>
      <c r="N21" t="s">
        <v>177</v>
      </c>
    </row>
    <row r="22" spans="1:14" x14ac:dyDescent="0.3">
      <c r="A22">
        <v>21</v>
      </c>
      <c r="B22" s="7" t="s">
        <v>121</v>
      </c>
      <c r="C22" t="s">
        <v>122</v>
      </c>
      <c r="D22">
        <v>2021</v>
      </c>
      <c r="E22" t="s">
        <v>123</v>
      </c>
      <c r="F22" t="s">
        <v>68</v>
      </c>
      <c r="G22">
        <v>39</v>
      </c>
      <c r="H22" t="s">
        <v>118</v>
      </c>
      <c r="J22" t="s">
        <v>88</v>
      </c>
      <c r="K22" t="s">
        <v>124</v>
      </c>
      <c r="L22" s="3" t="s">
        <v>136</v>
      </c>
      <c r="M22" s="10" t="s">
        <v>212</v>
      </c>
      <c r="N22" t="s">
        <v>164</v>
      </c>
    </row>
    <row r="23" spans="1:14" x14ac:dyDescent="0.3">
      <c r="A23">
        <v>22</v>
      </c>
      <c r="B23" s="7" t="s">
        <v>116</v>
      </c>
      <c r="C23" t="s">
        <v>117</v>
      </c>
      <c r="D23">
        <v>2021</v>
      </c>
      <c r="E23" t="s">
        <v>65</v>
      </c>
      <c r="F23" t="s">
        <v>68</v>
      </c>
      <c r="G23">
        <v>64</v>
      </c>
      <c r="H23" t="s">
        <v>118</v>
      </c>
      <c r="I23" t="s">
        <v>120</v>
      </c>
      <c r="J23" t="s">
        <v>88</v>
      </c>
      <c r="K23" t="s">
        <v>119</v>
      </c>
      <c r="L23" s="3" t="s">
        <v>138</v>
      </c>
      <c r="M23" s="10" t="s">
        <v>116</v>
      </c>
      <c r="N23" t="s">
        <v>172</v>
      </c>
    </row>
    <row r="24" spans="1:14" x14ac:dyDescent="0.3">
      <c r="A24">
        <v>23</v>
      </c>
      <c r="B24" s="8" t="s">
        <v>30</v>
      </c>
      <c r="C24" t="s">
        <v>26</v>
      </c>
      <c r="D24">
        <v>2018</v>
      </c>
      <c r="F24" t="s">
        <v>76</v>
      </c>
      <c r="G24">
        <v>2</v>
      </c>
      <c r="H24" t="s">
        <v>27</v>
      </c>
      <c r="I24" t="s">
        <v>28</v>
      </c>
      <c r="J24" t="s">
        <v>88</v>
      </c>
      <c r="L24" s="4" t="s">
        <v>151</v>
      </c>
      <c r="M24" s="11" t="s">
        <v>207</v>
      </c>
      <c r="N24" t="s">
        <v>160</v>
      </c>
    </row>
    <row r="25" spans="1:14" x14ac:dyDescent="0.3">
      <c r="A25">
        <v>24</v>
      </c>
      <c r="B25" s="7" t="s">
        <v>90</v>
      </c>
      <c r="C25" t="s">
        <v>91</v>
      </c>
      <c r="D25">
        <v>2016</v>
      </c>
      <c r="F25" t="s">
        <v>76</v>
      </c>
      <c r="G25">
        <v>23</v>
      </c>
      <c r="H25" t="s">
        <v>92</v>
      </c>
      <c r="I25" t="s">
        <v>57</v>
      </c>
      <c r="J25" t="s">
        <v>88</v>
      </c>
      <c r="L25" s="3" t="s">
        <v>132</v>
      </c>
      <c r="M25" s="10" t="s">
        <v>90</v>
      </c>
      <c r="N25" t="s">
        <v>158</v>
      </c>
    </row>
    <row r="26" spans="1:14" x14ac:dyDescent="0.3">
      <c r="A26">
        <v>25</v>
      </c>
      <c r="B26" s="9" t="s">
        <v>181</v>
      </c>
      <c r="C26" t="s">
        <v>50</v>
      </c>
      <c r="D26">
        <v>2025</v>
      </c>
      <c r="E26" t="s">
        <v>185</v>
      </c>
      <c r="F26" t="s">
        <v>68</v>
      </c>
      <c r="G26">
        <v>1</v>
      </c>
      <c r="H26" t="s">
        <v>46</v>
      </c>
      <c r="I26" t="s">
        <v>180</v>
      </c>
      <c r="J26" t="s">
        <v>88</v>
      </c>
      <c r="K26" t="s">
        <v>183</v>
      </c>
      <c r="L26" t="s">
        <v>182</v>
      </c>
      <c r="M26" s="10" t="s">
        <v>208</v>
      </c>
      <c r="N26" t="s">
        <v>199</v>
      </c>
    </row>
    <row r="27" spans="1:14" x14ac:dyDescent="0.3">
      <c r="A27">
        <v>26</v>
      </c>
      <c r="B27" s="9" t="s">
        <v>186</v>
      </c>
      <c r="C27" t="s">
        <v>187</v>
      </c>
      <c r="D27">
        <v>2025</v>
      </c>
      <c r="E27" t="s">
        <v>188</v>
      </c>
      <c r="F27" t="s">
        <v>68</v>
      </c>
      <c r="G27">
        <v>1</v>
      </c>
      <c r="H27" t="s">
        <v>125</v>
      </c>
      <c r="J27" t="s">
        <v>88</v>
      </c>
      <c r="K27" t="s">
        <v>189</v>
      </c>
      <c r="L27" t="s">
        <v>190</v>
      </c>
      <c r="M27" s="10" t="s">
        <v>186</v>
      </c>
      <c r="N27" t="s">
        <v>198</v>
      </c>
    </row>
    <row r="28" spans="1:14" x14ac:dyDescent="0.3">
      <c r="A28">
        <v>27</v>
      </c>
      <c r="B28" s="9" t="s">
        <v>192</v>
      </c>
      <c r="C28" t="s">
        <v>191</v>
      </c>
      <c r="D28">
        <v>2025</v>
      </c>
      <c r="E28" t="s">
        <v>193</v>
      </c>
      <c r="F28" t="s">
        <v>68</v>
      </c>
      <c r="G28">
        <v>0</v>
      </c>
      <c r="H28" t="s">
        <v>196</v>
      </c>
      <c r="J28" t="s">
        <v>88</v>
      </c>
      <c r="K28" t="s">
        <v>195</v>
      </c>
      <c r="L28" t="s">
        <v>194</v>
      </c>
      <c r="M28" s="10" t="s">
        <v>192</v>
      </c>
      <c r="N28" t="s">
        <v>197</v>
      </c>
    </row>
    <row r="29" spans="1:14" x14ac:dyDescent="0.3">
      <c r="A29">
        <v>28</v>
      </c>
      <c r="B29" s="9" t="s">
        <v>201</v>
      </c>
      <c r="C29" t="s">
        <v>200</v>
      </c>
      <c r="D29">
        <v>2025</v>
      </c>
      <c r="E29" t="s">
        <v>202</v>
      </c>
      <c r="F29" t="s">
        <v>68</v>
      </c>
      <c r="G29">
        <v>0</v>
      </c>
      <c r="H29" t="s">
        <v>8</v>
      </c>
      <c r="J29" t="s">
        <v>88</v>
      </c>
      <c r="L29" t="s">
        <v>204</v>
      </c>
      <c r="M29" s="10" t="s">
        <v>201</v>
      </c>
      <c r="N29" t="s">
        <v>203</v>
      </c>
    </row>
  </sheetData>
  <autoFilter ref="A1:N29" xr:uid="{89F6EBB6-5C58-44AD-B342-EE74F3AC3D94}">
    <sortState xmlns:xlrd2="http://schemas.microsoft.com/office/spreadsheetml/2017/richdata2" ref="A2:N29">
      <sortCondition ref="A1:A29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D92D4-E07E-4A35-8AA8-9FBAC85FC984}">
  <dimension ref="A1:C29"/>
  <sheetViews>
    <sheetView workbookViewId="0">
      <selection activeCell="B24" sqref="B24"/>
    </sheetView>
  </sheetViews>
  <sheetFormatPr baseColWidth="10" defaultRowHeight="14.4" x14ac:dyDescent="0.3"/>
  <sheetData>
    <row r="1" spans="1:3" x14ac:dyDescent="0.3">
      <c r="A1" t="s">
        <v>214</v>
      </c>
      <c r="B1" s="2" t="s">
        <v>154</v>
      </c>
    </row>
    <row r="2" spans="1:3" x14ac:dyDescent="0.3">
      <c r="A2">
        <v>1</v>
      </c>
      <c r="B2" t="s">
        <v>155</v>
      </c>
      <c r="C2" t="str">
        <f>VLOOKUP(B2,[1]Table!$E:$E,1,FALSE)</f>
        <v>\cite{loechel_climate_2013}</v>
      </c>
    </row>
    <row r="3" spans="1:3" x14ac:dyDescent="0.3">
      <c r="A3">
        <v>2</v>
      </c>
      <c r="B3" t="s">
        <v>157</v>
      </c>
      <c r="C3" t="str">
        <f>VLOOKUP(B3,[1]Table!$E:$E,1,FALSE)</f>
        <v xml:space="preserve">\cite{holden_mining_2015} </v>
      </c>
    </row>
    <row r="4" spans="1:3" x14ac:dyDescent="0.3">
      <c r="A4">
        <v>3</v>
      </c>
      <c r="B4" t="s">
        <v>161</v>
      </c>
      <c r="C4" t="e">
        <f>VLOOKUP(B4,[1]Table!$E:$E,1,FALSE)</f>
        <v>#N/A</v>
      </c>
    </row>
    <row r="5" spans="1:3" x14ac:dyDescent="0.3">
      <c r="A5">
        <v>4</v>
      </c>
      <c r="B5" t="s">
        <v>163</v>
      </c>
      <c r="C5" t="e">
        <f>VLOOKUP(B5,[1]Table!$E:$E,1,FALSE)</f>
        <v>#N/A</v>
      </c>
    </row>
    <row r="6" spans="1:3" x14ac:dyDescent="0.3">
      <c r="A6">
        <v>5</v>
      </c>
      <c r="B6" t="s">
        <v>165</v>
      </c>
      <c r="C6" t="str">
        <f>VLOOKUP(B6,[1]Table!$E:$E,1,FALSE)</f>
        <v xml:space="preserve">\cite{tannor_climate_2022} </v>
      </c>
    </row>
    <row r="7" spans="1:3" x14ac:dyDescent="0.3">
      <c r="A7">
        <v>6</v>
      </c>
      <c r="B7" t="s">
        <v>166</v>
      </c>
      <c r="C7" t="str">
        <f>VLOOKUP(B7,[1]Table!$E:$E,1,FALSE)</f>
        <v xml:space="preserve">\cite{varea_qi_2022} </v>
      </c>
    </row>
    <row r="8" spans="1:3" x14ac:dyDescent="0.3">
      <c r="A8">
        <v>7</v>
      </c>
      <c r="B8" t="s">
        <v>167</v>
      </c>
      <c r="C8" t="str">
        <f>VLOOKUP(B8,[1]Table!$E:$E,1,FALSE)</f>
        <v>\cite{sun_vulnerability_2022}</v>
      </c>
    </row>
    <row r="9" spans="1:3" x14ac:dyDescent="0.3">
      <c r="A9">
        <v>8</v>
      </c>
      <c r="B9" t="s">
        <v>168</v>
      </c>
      <c r="C9" t="str">
        <f>VLOOKUP(B9,[1]Table!$E:$E,1,FALSE)</f>
        <v>\cite{karunarathne_building_2023}</v>
      </c>
    </row>
    <row r="10" spans="1:3" x14ac:dyDescent="0.3">
      <c r="A10">
        <v>9</v>
      </c>
      <c r="B10" t="s">
        <v>174</v>
      </c>
      <c r="C10" t="str">
        <f>VLOOKUP(B10,[1]Table!$E:$E,1,FALSE)</f>
        <v xml:space="preserve">\cite{guzman_community-based_2024} </v>
      </c>
    </row>
    <row r="11" spans="1:3" x14ac:dyDescent="0.3">
      <c r="A11">
        <v>10</v>
      </c>
      <c r="B11" t="s">
        <v>176</v>
      </c>
      <c r="C11" t="str">
        <f>VLOOKUP(B11,[1]Table!$E:$E,1,FALSE)</f>
        <v>\cite{li_gis-based_2025}</v>
      </c>
    </row>
    <row r="12" spans="1:3" x14ac:dyDescent="0.3">
      <c r="A12">
        <v>11</v>
      </c>
      <c r="B12" t="s">
        <v>171</v>
      </c>
      <c r="C12" t="str">
        <f>VLOOKUP(B12,[1]Table!$E:$E,1,FALSE)</f>
        <v>\cite{luna_lessons_2025}</v>
      </c>
    </row>
    <row r="13" spans="1:3" x14ac:dyDescent="0.3">
      <c r="A13">
        <v>12</v>
      </c>
      <c r="B13" t="s">
        <v>175</v>
      </c>
      <c r="C13" t="str">
        <f>VLOOKUP(B13,[1]Table!$E:$E,1,FALSE)</f>
        <v xml:space="preserve">\cite{siddique_sustainable_2025} </v>
      </c>
    </row>
    <row r="14" spans="1:3" x14ac:dyDescent="0.3">
      <c r="A14">
        <v>13</v>
      </c>
      <c r="B14" t="s">
        <v>170</v>
      </c>
      <c r="C14" t="str">
        <f>VLOOKUP(B14,[1]Table!$E:$E,1,FALSE)</f>
        <v>\cite{goswami_geomorphic_2025}</v>
      </c>
    </row>
    <row r="15" spans="1:3" x14ac:dyDescent="0.3">
      <c r="A15">
        <v>14</v>
      </c>
      <c r="B15" t="s">
        <v>178</v>
      </c>
      <c r="C15" t="str">
        <f>VLOOKUP(B15,[1]Table!$E:$E,1,FALSE)</f>
        <v>\cite{schulze_investigating_2023}</v>
      </c>
    </row>
    <row r="16" spans="1:3" x14ac:dyDescent="0.3">
      <c r="A16">
        <v>15</v>
      </c>
      <c r="B16" t="s">
        <v>173</v>
      </c>
      <c r="C16" t="str">
        <f>VLOOKUP(B16,[1]Table!$E:$E,1,FALSE)</f>
        <v>\cite{kafu-quvane_assessing_2024}</v>
      </c>
    </row>
    <row r="17" spans="1:3" x14ac:dyDescent="0.3">
      <c r="A17">
        <v>16</v>
      </c>
      <c r="B17" t="s">
        <v>156</v>
      </c>
      <c r="C17" t="str">
        <f>VLOOKUP(B17,[1]Table!$E:$E,1,FALSE)</f>
        <v>\cite{sharma_situ_2013}</v>
      </c>
    </row>
    <row r="18" spans="1:3" x14ac:dyDescent="0.3">
      <c r="A18">
        <v>17</v>
      </c>
      <c r="B18" t="s">
        <v>159</v>
      </c>
      <c r="C18" t="str">
        <f>VLOOKUP(B18,[1]Table!$E:$E,1,FALSE)</f>
        <v xml:space="preserve">\cite{amoako_emerging_2018} </v>
      </c>
    </row>
    <row r="19" spans="1:3" x14ac:dyDescent="0.3">
      <c r="A19">
        <v>18</v>
      </c>
      <c r="B19" t="s">
        <v>169</v>
      </c>
      <c r="C19" t="str">
        <f>VLOOKUP(B19,[1]Table!$E:$E,1,FALSE)</f>
        <v>\cite{rinishakartheeshwari_innovative_2024}</v>
      </c>
    </row>
    <row r="20" spans="1:3" x14ac:dyDescent="0.3">
      <c r="A20">
        <v>19</v>
      </c>
      <c r="B20" t="s">
        <v>162</v>
      </c>
      <c r="C20" t="str">
        <f>VLOOKUP(B20,[1]Table!$E:$E,1,FALSE)</f>
        <v>\cite{mavrommatis_impacts_2020}</v>
      </c>
    </row>
    <row r="21" spans="1:3" x14ac:dyDescent="0.3">
      <c r="A21">
        <v>20</v>
      </c>
      <c r="B21" t="s">
        <v>177</v>
      </c>
      <c r="C21" t="str">
        <f>VLOOKUP(B21,[1]Table!$E:$E,1,FALSE)</f>
        <v xml:space="preserve">\cite{wasylycia-leis_mining_2014} </v>
      </c>
    </row>
    <row r="22" spans="1:3" x14ac:dyDescent="0.3">
      <c r="A22">
        <v>21</v>
      </c>
      <c r="B22" t="s">
        <v>164</v>
      </c>
      <c r="C22" t="str">
        <f>VLOOKUP(B22,[1]Table!$E:$E,1,FALSE)</f>
        <v xml:space="preserve">\cite{odell_desalination_2021} </v>
      </c>
    </row>
    <row r="23" spans="1:3" x14ac:dyDescent="0.3">
      <c r="A23">
        <v>22</v>
      </c>
      <c r="B23" t="s">
        <v>172</v>
      </c>
      <c r="C23" t="str">
        <f>VLOOKUP(B23,[1]Table!$E:$E,1,FALSE)</f>
        <v>\cite{liu_dynamics_2021}</v>
      </c>
    </row>
    <row r="24" spans="1:3" x14ac:dyDescent="0.3">
      <c r="A24">
        <v>23</v>
      </c>
      <c r="B24" t="s">
        <v>160</v>
      </c>
      <c r="C24" t="str">
        <f>VLOOKUP(B24,[1]Table!$E:$E,1,FALSE)</f>
        <v>\cite{kanakis_mining_2018}</v>
      </c>
    </row>
    <row r="25" spans="1:3" x14ac:dyDescent="0.3">
      <c r="A25">
        <v>24</v>
      </c>
      <c r="B25" t="s">
        <v>158</v>
      </c>
      <c r="C25" t="str">
        <f>VLOOKUP(B25,[1]Table!$E:$E,1,FALSE)</f>
        <v>\cite{kuir-ayius_building_2016}</v>
      </c>
    </row>
    <row r="26" spans="1:3" x14ac:dyDescent="0.3">
      <c r="A26">
        <v>25</v>
      </c>
      <c r="B26" t="s">
        <v>199</v>
      </c>
      <c r="C26" t="str">
        <f>VLOOKUP(B26,[1]Table!$E:$E,1,FALSE)</f>
        <v>\cite{siddique2025inclusive}</v>
      </c>
    </row>
    <row r="27" spans="1:3" x14ac:dyDescent="0.3">
      <c r="A27">
        <v>26</v>
      </c>
      <c r="B27" t="s">
        <v>198</v>
      </c>
      <c r="C27" t="str">
        <f>VLOOKUP(B27,[1]Table!$E:$E,1,FALSE)</f>
        <v>\cite{lobo2025downstream}</v>
      </c>
    </row>
    <row r="28" spans="1:3" x14ac:dyDescent="0.3">
      <c r="A28">
        <v>27</v>
      </c>
      <c r="B28" t="s">
        <v>197</v>
      </c>
      <c r="C28" t="str">
        <f>VLOOKUP(B28,[1]Table!$E:$E,1,FALSE)</f>
        <v>\cite{rachmawati2025resilient}</v>
      </c>
    </row>
    <row r="29" spans="1:3" x14ac:dyDescent="0.3">
      <c r="A29">
        <v>28</v>
      </c>
      <c r="B29" t="s">
        <v>203</v>
      </c>
      <c r="C29" t="str">
        <f>VLOOKUP(B29,[1]Table!$E:$E,1,FALSE)</f>
        <v>\cite{bondinuba2025synthesis}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RAW</vt:lpstr>
      <vt:lpstr>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Mariam Bouzid</dc:creator>
  <cp:lastModifiedBy>Mariam Bouzid</cp:lastModifiedBy>
  <dcterms:created xsi:type="dcterms:W3CDTF">2025-07-10T20:39:58Z</dcterms:created>
  <dcterms:modified xsi:type="dcterms:W3CDTF">2026-05-30T17:11:54Z</dcterms:modified>
</cp:coreProperties>
</file>