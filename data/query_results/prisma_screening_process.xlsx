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home\mariambzd\repos\bibMining\data\query_results\"/>
    </mc:Choice>
  </mc:AlternateContent>
  <xr:revisionPtr revIDLastSave="0" documentId="13_ncr:1_{316FB2C8-322B-4E4A-B64C-762378B683A6}" xr6:coauthVersionLast="47" xr6:coauthVersionMax="47" xr10:uidLastSave="{00000000-0000-0000-0000-000000000000}"/>
  <bookViews>
    <workbookView xWindow="-108" yWindow="-108" windowWidth="23256" windowHeight="12456" activeTab="3" xr2:uid="{00000000-000D-0000-FFFF-FFFF00000000}"/>
  </bookViews>
  <sheets>
    <sheet name="Screening" sheetId="1" r:id="rId1"/>
    <sheet name="Eligibility" sheetId="2" r:id="rId2"/>
    <sheet name="Inclusion" sheetId="3" r:id="rId3"/>
    <sheet name="Corpus" sheetId="4" r:id="rId4"/>
  </sheets>
  <externalReferences>
    <externalReference r:id="rId5"/>
    <externalReference r:id="rId6"/>
  </externalReferences>
  <definedNames>
    <definedName name="_xlnm._FilterDatabase" localSheetId="3" hidden="1">Corpus!$A$1:$I$29</definedName>
    <definedName name="_xlnm._FilterDatabase" localSheetId="1" hidden="1">Eligibility!$A$1:$M$67</definedName>
    <definedName name="_xlnm._FilterDatabase" localSheetId="2" hidden="1">Inclusion!$A$1:$J$12</definedName>
    <definedName name="_xlnm._FilterDatabase" localSheetId="0" hidden="1">Screening!$A$1:$M$140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2" l="1"/>
  <c r="M12" i="2"/>
  <c r="M13" i="2"/>
  <c r="M15" i="2"/>
  <c r="M16" i="2"/>
  <c r="M17" i="2"/>
  <c r="M18" i="2"/>
  <c r="M20" i="2"/>
  <c r="M22" i="2"/>
  <c r="M23" i="2"/>
  <c r="M24" i="2"/>
  <c r="M25" i="2"/>
  <c r="M26" i="2"/>
  <c r="M27" i="2"/>
  <c r="M28" i="2"/>
  <c r="M29" i="2"/>
  <c r="M30" i="2"/>
  <c r="M31" i="2"/>
  <c r="M32" i="2"/>
  <c r="M33" i="2"/>
  <c r="M34" i="2"/>
  <c r="M36" i="2"/>
  <c r="M37" i="2"/>
  <c r="M39" i="2"/>
  <c r="M40" i="2"/>
  <c r="M41" i="2"/>
  <c r="M43" i="2"/>
  <c r="M44" i="2"/>
  <c r="M45" i="2"/>
  <c r="M46" i="2"/>
  <c r="M47" i="2"/>
  <c r="M48" i="2"/>
  <c r="M49" i="2"/>
  <c r="M50" i="2"/>
  <c r="M51" i="2"/>
  <c r="M52" i="2"/>
  <c r="M54" i="2"/>
  <c r="M55" i="2"/>
  <c r="M56" i="2"/>
  <c r="M58" i="2"/>
  <c r="M59" i="2"/>
  <c r="M62" i="2"/>
  <c r="M63" i="2"/>
  <c r="M64" i="2"/>
  <c r="M65" i="2"/>
  <c r="M66" i="2"/>
  <c r="M67" i="2"/>
  <c r="M10" i="2"/>
  <c r="L10" i="2"/>
  <c r="M3" i="2"/>
  <c r="M4" i="2"/>
  <c r="M6" i="2"/>
  <c r="M9" i="2"/>
  <c r="M2" i="2"/>
  <c r="L2" i="2"/>
  <c r="L5" i="1"/>
  <c r="L11" i="2"/>
  <c r="L12" i="2"/>
  <c r="L13" i="2"/>
  <c r="L14" i="2"/>
  <c r="L15" i="2"/>
  <c r="L16" i="2"/>
  <c r="L17" i="2"/>
  <c r="L18" i="2"/>
  <c r="L19" i="2"/>
  <c r="L20" i="2"/>
  <c r="L21" i="2"/>
  <c r="L22" i="2"/>
  <c r="L23" i="2"/>
  <c r="L24" i="2"/>
  <c r="L25" i="2"/>
  <c r="L26" i="2"/>
  <c r="L27" i="2"/>
  <c r="L28" i="2"/>
  <c r="L29" i="2"/>
  <c r="L30" i="2"/>
  <c r="L31" i="2"/>
  <c r="L32" i="2"/>
  <c r="L33" i="2"/>
  <c r="L34" i="2"/>
  <c r="L35" i="2"/>
  <c r="L36"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3" i="2"/>
  <c r="L5" i="2"/>
  <c r="L6" i="2"/>
  <c r="L8" i="2"/>
  <c r="L9" i="2"/>
  <c r="M28" i="1"/>
  <c r="M31" i="1"/>
  <c r="M32" i="1"/>
  <c r="M34" i="1"/>
  <c r="M36" i="1"/>
  <c r="M37" i="1"/>
  <c r="M42" i="1"/>
  <c r="M43" i="1"/>
  <c r="M45" i="1"/>
  <c r="M47" i="1"/>
  <c r="M48" i="1"/>
  <c r="M49" i="1"/>
  <c r="M50" i="1"/>
  <c r="M51" i="1"/>
  <c r="M53" i="1"/>
  <c r="M54" i="1"/>
  <c r="M55" i="1"/>
  <c r="M58" i="1"/>
  <c r="M62" i="1"/>
  <c r="M64" i="1"/>
  <c r="M67" i="1"/>
  <c r="M75" i="1"/>
  <c r="M76" i="1"/>
  <c r="M80" i="1"/>
  <c r="M81" i="1"/>
  <c r="M82" i="1"/>
  <c r="M83" i="1"/>
  <c r="M84" i="1"/>
  <c r="M86" i="1"/>
  <c r="M90" i="1"/>
  <c r="M92" i="1"/>
  <c r="M95" i="1"/>
  <c r="M97" i="1"/>
  <c r="M98" i="1"/>
  <c r="M99" i="1"/>
  <c r="M100" i="1"/>
  <c r="M101" i="1"/>
  <c r="M102" i="1"/>
  <c r="M103" i="1"/>
  <c r="M104" i="1"/>
  <c r="M110" i="1"/>
  <c r="M111" i="1"/>
  <c r="M112" i="1"/>
  <c r="M113" i="1"/>
  <c r="M114" i="1"/>
  <c r="M117" i="1"/>
  <c r="M118" i="1"/>
  <c r="M120" i="1"/>
  <c r="M121" i="1"/>
  <c r="M122" i="1"/>
  <c r="M124" i="1"/>
  <c r="M125" i="1"/>
  <c r="M127" i="1"/>
  <c r="M129" i="1"/>
  <c r="M132" i="1"/>
  <c r="M134" i="1"/>
  <c r="M135" i="1"/>
  <c r="M137" i="1"/>
  <c r="L25" i="1"/>
  <c r="M5" i="1"/>
  <c r="M8" i="1"/>
  <c r="M9" i="1"/>
  <c r="M10" i="1"/>
  <c r="M11" i="1"/>
  <c r="M12" i="1"/>
  <c r="M15" i="1"/>
  <c r="M17" i="1"/>
  <c r="M18" i="1"/>
  <c r="M19" i="1"/>
  <c r="M20" i="1"/>
  <c r="M22" i="1"/>
  <c r="M24" i="1"/>
  <c r="M2" i="1"/>
  <c r="L2"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3" i="1"/>
  <c r="L4" i="1"/>
  <c r="L7" i="1"/>
  <c r="L8" i="1"/>
  <c r="L9" i="1"/>
  <c r="L10" i="1"/>
  <c r="L11" i="1"/>
  <c r="L12" i="1"/>
  <c r="L13" i="1"/>
  <c r="L14" i="1"/>
  <c r="L15" i="1"/>
  <c r="L16" i="1"/>
  <c r="L17" i="1"/>
  <c r="L18" i="1"/>
  <c r="L19" i="1"/>
  <c r="L20" i="1"/>
  <c r="L21" i="1"/>
  <c r="L22" i="1"/>
  <c r="L23" i="1"/>
  <c r="L24" i="1"/>
</calcChain>
</file>

<file path=xl/sharedStrings.xml><?xml version="1.0" encoding="utf-8"?>
<sst xmlns="http://schemas.openxmlformats.org/spreadsheetml/2006/main" count="2052" uniqueCount="920">
  <si>
    <t>Title</t>
  </si>
  <si>
    <t>Authors</t>
  </si>
  <si>
    <t>Year</t>
  </si>
  <si>
    <t>Source</t>
  </si>
  <si>
    <t>Abstract</t>
  </si>
  <si>
    <t>DOI</t>
  </si>
  <si>
    <t>Author Keywords</t>
  </si>
  <si>
    <t>Index Keywords</t>
  </si>
  <si>
    <t>Language of Original Document</t>
  </si>
  <si>
    <t>Document Type</t>
  </si>
  <si>
    <t>indicators for the assessment of social resilience in flood-affected communities - a text mining-based methodology</t>
  </si>
  <si>
    <t>Jacinto, R; Reis, E; Ferrao, J</t>
  </si>
  <si>
    <t>SCIENCE OF THE TOTAL ENVIRONMENT</t>
  </si>
  <si>
    <t>This work turns the social resilience concept into a practical and tangible set of dimensions and indicators for social resilience assessment. It further provides an analysis of the social resilience concept in the context of flood risk governance. Floods are a worldwide recurring phenomenon that causes severe social, economic and environmental losses. In the context of global change, it is very difficult to accurately predict extreme events that may increase disaster frequency; hence the implementation of social resilience is essential to lessen the losses. Indeed, the right balance between natural and social factors and indicators is yet to be found. Social resilience has been debated extensively for decades, both in scientific and political contexts. It has been a concern in disaster risk reduction and risk governance fields, both of which have strived to implement it. The enlarged conceptual discussion regarding this topic has resulted in some indicator-based assessments that hardly reflect the conceptual discussion developed so far. These indicator-based approaches still lack accurate inclusion of social dynamics and the capacity to learn from experience. In order to contribute to a comprehensive approach (concept and methods) for assessing social resilience to floods, the evolutionary resilience concept (Davoudi, Simin; Shaw, Keith; Haider, L. Jamila; Quilnlan, Allyson E; Petterson, Garry D.; Wilkinson, Cathy; Fiinfgeld, Hartmut; McEvoy, Darryn; Porter, 2012) was considered as a reference in this work, as it can include dimensions that are difficult to evaluate (non-static time and learningcapacity in multi-dimensional systems). This work addresses the challenge of a conceptual overview of social resilience to include key factors and indicators. Our methodology uses text mining, experts' surveys and bibliography reviews to generate an indicators database. The contribution of this article to the scientific debate on social resilience assessment is twofold. First, the key-concepts, words and expressions in this field are identified, which provides the basis to build a comprehensive and coherent analytical framework Secondly, an original indicators database is proposed in line with that framework. The results of a text mining-based methodology and an online survey, involving experts from different countries, show that four of the six dimensions of the indicators database refer to social aspects of risks (Individuals, Society, Governance, and Built Environment), while the remaining two refer to the Environment and Disaster. The results obtained so far suggest the need for a next step aiming to validate the dimensions and the indicators of this database through its application to real case studies. (C) 2020 Elsevier B.V. All rights reserved.</t>
  </si>
  <si>
    <t>10.1016/j.scitotenv.2020.140973</t>
  </si>
  <si>
    <t>Social resilience; Floods; Resilience indicators; Text mining; Experts' opinions</t>
  </si>
  <si>
    <t>EVOLUTIONARY RESILIENCE; ADAPTIVE CAPACITY; DISASTER RISK; VULNERABILITY; FRAMEWORK; SYSTEMS</t>
  </si>
  <si>
    <t>English</t>
  </si>
  <si>
    <t>Article</t>
  </si>
  <si>
    <t>social media-based social-psychological community resilience analysis of five countries on covid-19</t>
  </si>
  <si>
    <t>Valinejad, J; Guo, Z; Cho, JH; Chen, IR</t>
  </si>
  <si>
    <t>JOURNAL OF COMPUTATIONAL SOCIAL SCIENCE</t>
  </si>
  <si>
    <t>Community resilience (CR) has been studied as an indicator to measure how well a given community copes with and recovers from a given disaster. Social-psychological community resilience (SPCR) has been used as a basis to determine public policy directions based on priority. Although the impact of the COVID-19 has been serious all over the world and interferes every aspect of our daily life, some countries have handled this disaster better than others due to their different disaster management policies and perceptions about the disaster. In this work, we are interested in measuring and analyzing SPCR through social media information in five different countries which can reflect different disaster management policies and perceptions toward the COVID-19. In the literature, measuring SPCR has been discussed, but the key attributes have not been agreed upon. We propose to use two attributes for measuring SPCR, i.e., community wellbeing (CW) and community capital (CC), because social and psychological resilience can be the firm basis for a community to be restored and reinvented into the so-called transformative community to ensure sustainability in the future generation. We use Tweeter data and investigate how each country shows different trends of SPCR in response to real and fake tweets generated during a COVID-19 period using machine learning and text-mining tools. We employ tweets generated in Australia (AUS), Singapore (SG), Republic of Korea (ROK), the United Kingdom (UK), and the United States (US), during March-November 2020 and measure the SPCR of each country and its associated attributes for analyzing the overall trends. Our results show that ROK among the five countries in our study has the highest level in CW, CC, and the resulting SPCR on real tweets reflecting reality, a result that matches well with the fact that ROK is resilient to COVID-19 during March-November 2020. Further, our results indicate that SPCR on real tweets is up to 80% higher than SPCR on fake tweets, suggesting that a much stronger community resilience may be achieved on real tweets. Finally, our results show that there is a negative correlation between SPCR values on fake and real tweets overall when considering all the tweets of the five countries to derive the overall trends. However, for each country, we observe a different correlation, either positive or negative, depending on each country. This implies that there should be further investigation of analyzing SPCR by considering unique cultural and national characteristics of each country.</t>
  </si>
  <si>
    <t>10.1007/s42001-023-00220-z</t>
  </si>
  <si>
    <t>Applied computing; Psychology; Computing methodologies; Model verificationand validation; Social-psychological community resilience; Social media; Fake news; Real news; COVID-19; Text mining; Data science; NLP (Natural language programming)</t>
  </si>
  <si>
    <t>DISASTER RESILIENCE; MODEL; TIME</t>
  </si>
  <si>
    <t>social capital and institutional complexity in svalbard: the case of avalanche disaster management</t>
  </si>
  <si>
    <t>Tiller, RG; Ross, AD; Nyman, E</t>
  </si>
  <si>
    <t>DISASTER PREVENTION AND MANAGEMENT</t>
  </si>
  <si>
    <t>Purpose Resilience can be understood as the ability of communities to adapt to disturbances in a way that reduces chronic vulnerability and promotes growth. Disaster scholars assert that resilience is developed through a set of adaptive capacities across multiple domains, including society, the economy, the built and natural environments, and sociopolitical institutions. These adaptive capacities have been thought to be networked, but little is known about how they are connected. The authors explore how institutional capacity and social capital intersect to influence change adaptation, using a case from the Artic: Longyearbyen in the Svalbard archipelago. Design/methodology/approach The authors use case study methods that integrate original interviews of Longyearbyen residents with news articles and public documents to analyze emergent themes related to institutional capacity, social capital and disaster risk reduction. Findings Analyses reveal that implementation gaps in hazard and disaster programs and policies, coupled with high turnover of staff in key positions, have created accountability issues indicative of low institutional capacity and weak social capital between the public and government. Additionally, high turnover of the population of the community, within the context of the legacy as a mining company town, is accompanied by social divisions and low trust between diverse cultural groups in the community. This lack of social capital provides little support for institutional capacity to effectively mitigate risk posed by climate change. Originality/value This study illuminates institutional capacity building needs directly related to disaster resilience for cases of complex institutional arrangements and developing democracy.</t>
  </si>
  <si>
    <t>10.1108/DPM-05-2021-0168</t>
  </si>
  <si>
    <t>Climate adaptation; Emergency management; Disaster resilience; Artic; Avalanches; Svalbard</t>
  </si>
  <si>
    <t>COMMUNITY RESILIENCE; STRATEGY</t>
  </si>
  <si>
    <t>nurse practitioners: leaders in all phases of disaster management</t>
  </si>
  <si>
    <t>Rudner, N; Hodges, A</t>
  </si>
  <si>
    <t>JNP- THE JOURNAL FOR NURSE PRACTITIONERS</t>
  </si>
  <si>
    <t>This article examines the role of nurse practitioners (NPs) in disaster management in extreme climate events that result from our warming world. The authors describe potential roles and contributions of NPs in each of the four phases of the Federal Emergency Management Agency's Disaster Response model. Principal results indicate that NPs are critical in enhancing community resilience and health outcomes in disasters. NPs can lead targeted interventions and policies are needed to support vulnerable groups in the face of climate-related disasters. (c) 2025 Elsevier Inc. All rights are reserved, including those for text and data mining, AI training, and similar technologies.</t>
  </si>
  <si>
    <t>10.1016/j.nurpra.2025.105548</t>
  </si>
  <si>
    <t>climate change; disaster management; disaster preparedness; environmental health; nurse practitioners; social determinants of health; social vulnerability index</t>
  </si>
  <si>
    <t>examining disaster resilience perception of social media users during the billion-dollar hurricanes</t>
  </si>
  <si>
    <t>Zhai, W; Hu, WY; Yuan, ZH; Li, YT</t>
  </si>
  <si>
    <t>NATURAL HAZARDS</t>
  </si>
  <si>
    <t>This study investigates disaster resilience during major hurricane events by analyzing Twitter data. The study focuses on resilience-relevant tweets during major hurricanes from 2013 to 2020 in the USA that caused over 1 billion dollars in losses. The study explores variations in resilience perceptions across different racial, gender, and political groups, as well as the sentiment expressed in tweets during different phases of the disaster. Additionally, the study examines the alignment of Twitter discussions with the actual phases of the disasters from a spatiotemporal perspective. The findings highlight disparities in resilience perception among racial and gender groups, emphasizing the need for targeted approaches to promote inclusivity and equity in disaster resilience efforts. The importance of early awareness and preparedness is underscored, suggesting the significance of investing in forecasting and early alert systems to reduce the impact of disasters.</t>
  </si>
  <si>
    <t>10.1007/s11069-023-06206-4</t>
  </si>
  <si>
    <t>Resilience perception; Social media; Disaster management; Text mining</t>
  </si>
  <si>
    <t>COMMUNITY RESILIENCE; URBAN RESILIENCE; TWITTER; COMMUNICATION; EARTHQUAKE; FRAMEWORK; CITIES; WORLD; WOMEN</t>
  </si>
  <si>
    <t>defining disaster resilience: comparisons from key stakeholders involved in emergency management in victoria, australia</t>
  </si>
  <si>
    <t>Goode, N; Salmon, PM; Spencer, C; McArdle, D; Archer, F</t>
  </si>
  <si>
    <t>DISASTERS</t>
  </si>
  <si>
    <t>Three years after the introduction of the National Strategy for Disaster Resilience there remains no unanimously adopted definition of disaster resilience within Australia's emergency management sector. The aim of this study is to determine what the concept means to key stakeholders in the emergency management sector in the Australian State of Victoria, and how these conceptualisations overlap and diverge. Via an online survey, 113 people were asked how they define disaster resilience in their work in the emergency management sector. A data mining software tool, Leximancer, was employed to uncover the relationships between the definitions provided. The findings show that stakeholders see resilience as an 'ability' that encompasses emergency management activities and personal responsibility. However, the findings also highlight some possible points of conflict between stakeholders. In addition, the paper outlines and discusses a number of potential consequences for the implementation and the success of the resilience-based approach in Australia.</t>
  </si>
  <si>
    <t>10.1111/disa.12189</t>
  </si>
  <si>
    <t>disaster resilience; emergency management; policy</t>
  </si>
  <si>
    <t>COMMUNITY RESILIENCE; FRAMEWORK</t>
  </si>
  <si>
    <t>data mining for community resilience: understanding stakeholder value systems across communities in the state of florida</t>
  </si>
  <si>
    <t>Ren, H; Zhang, L; Sadri, AM; Ganapati, NE; Whetsell, TA</t>
  </si>
  <si>
    <t>NATURAL HAZARDS REVIEW</t>
  </si>
  <si>
    <t>Achieving community resilience is a complex task, as there is no 'one-size-fits-all' approach that can be applied uniformly across all communities. Communities with unique characteristics (e.g., geographic, demographic, and social vulnerabilities) require tailored resilience strategies aligned with their stakeholders' values and priorities. Stakeholder values refer to the things that are of importance, merit, and provide utilities to stakeholders, and stakeholders from different communities may hold values with varying degrees of importance, forming their own distinct value systems. Despite the abundance of research on stakeholder engagement in resilience planning, there remains a limited understanding of what stakeholders value or prioritize in resilience planning. To address this gap, our study examined stakeholder value systems and analyzed how the value systems vary across different communities (e.g., coastal versus inland; metropolitan versus nonmetropolitan; more versus less socially vulnerable). We used a semisupervised learning algorithm-Anchored correlation explanation (anchored CorEx)-to analyze the social media data from Twitter collected within the Florida communities. We found that: (1) physical built environment resilience values were ranked the highest, followed by environmental, social, and economic resilience values; (2) structural robustness and integrity, resource efficiency, comfort and health, and financial support were the highest-ranked values in the physical built environment, environmental, social, and economic resilience categories, respectively; (3) stakeholders from different communities had significant variations in their prioritizations of certain values (e.g., resource efficiency, beneficial land use); and (4) values such as structural robustness and integrity and resource efficiency require more attention in community resilience planning. The findings of this study could facilitate stakeholder-centered and community-specific resilience planning by tailoring resilience practices to the unique value systems held by community stakeholders.</t>
  </si>
  <si>
    <t>10.1061/NHREFO.NHENG-1894</t>
  </si>
  <si>
    <t>Community resilience; Stakeholders; Stakeholder value systems; Anchored correlation explanation; Social media; Sentiment</t>
  </si>
  <si>
    <t>DISASTER PREPAREDNESS; NATURAL HAZARDS; MANAGEMENT; ENGAGEMENT; COLLABORATION; PREFERENCES; CAPACITY; IMPACT; SMOTE</t>
  </si>
  <si>
    <t>analysing information diffusion in natural hazards using retweets-a case study of 2018 winter storm diego</t>
  </si>
  <si>
    <t>Xu, JW; Qiang, Y</t>
  </si>
  <si>
    <t>ANNALS OF GIS</t>
  </si>
  <si>
    <t>Information diffusion on social media during disasters is an important indicator of community resilience. As a common natural hazard in the U.S., winter storms often cause adverse socio-economic impacts on human society. Understanding people's perception and behaviours during winter storms is important to mitigate negative impacts and promote community resilience. This study applies text mining and spatial analysis methods on Twitter data during Winter Storm Diego on 2018 December. Different from previous studies focusing on original tweets, this study utilized retweets to model information diffusion in the contiguous United States and analysed the geographic distribution of information flows in various topics. The diffusion extent and direction of the storm-related retweets were compared among different topics. Kernel density maps and standard deviational ellipse were applied to model the spatial distribution of the retweets in different topics. The result shows that people outside of the affected areas expressed more negative sentiment towards the storm than people in the affected areas. Also, distance decay of retweet density has been found and the decay rate differs in different topics. These findings of the analyses will provide support for disaster relief, information communication and broadcasting through social media platforms.</t>
  </si>
  <si>
    <t>10.1080/19475683.2021.1954086</t>
  </si>
  <si>
    <t>Social media; text mining; topic modelling; sentiment analysis; kernel density</t>
  </si>
  <si>
    <t>SOCIAL MEDIA; COMMUNICATION; PERCEPTIONS; CITIZENS; SENSORS; NETWORK; WORLD</t>
  </si>
  <si>
    <t>mining twitter data for improved understanding of disaster resilience</t>
  </si>
  <si>
    <t>Zou, L; Lam, NSN; Cai, H; Qiang, Y</t>
  </si>
  <si>
    <t>ANNALS OF THE AMERICAN ASSOCIATION OF GEOGRAPHERS</t>
  </si>
  <si>
    <t>Coastal communities faced with multiple hazards have shown uneven responses and behaviors. These responses and behaviors could be better understood by analyzing real-time social media data through categorizing them into the three phases of the emergency management: preparedness, response, and recovery. This study analyzes the spatial-temporal patterns of Twitter activities during Hurricane Sandy, which struck the U.S. Northeast on 29 October 2012. The study area includes 126 counties affected by Hurricane Sandy. The objectives are threefold: (1) to derive a set of common indexes from Twitter data so that they can be used for emergency management and resilience analysis; (2) to examine whether there are significant geographical and social disparities in disaster-related Twitter use; and (3) to test whether Twitter data can improve postdisaster damage estimation. Three corresponding hypotheses were tested. Results show that common indexes derived from Twitter data, including ratio, normalized ratio, and sentiment, could enable comparison across regions and events and should be documented. Social and geographical disparities in Twitter use existed in the Hurricane Sandy event, with higher disaster-related Twitter use communities generally being communities of higher socioeconomic status. Finally, adding Twitter indexes into a damage estimation model improved the adjusted R-2 from 0.46 to 0.56, indicating that social media data could help improve postdisaster damage estimation, but other environmental and socioeconomic variables influencing the capacity to reducing damage might need to be included. The knowledge gained from this study could provide valuable insights into strategies for utilizing social media data to increase resilience to disasters.</t>
  </si>
  <si>
    <t>10.1080/24694452.2017.1421897</t>
  </si>
  <si>
    <t>geographical and social disparities in disaster resilience; Hurricane Sandy; social media; Twitter use</t>
  </si>
  <si>
    <t>SOCIAL MEDIA; COMMUNITY RESILIENCE; COASTAL HAZARDS; VULNERABILITY; PATTERNS</t>
  </si>
  <si>
    <t>fishing in troubled waters: revealing genomic signatures of local adaptation in response to freshwater pollutants in two macroinvertebrates</t>
  </si>
  <si>
    <t>Weigand, H; Weiss, M; Cai, HM; Li, YP; Yu, LL; Zhang, C; Leese, F</t>
  </si>
  <si>
    <t>Local adaptation is of fundamental importance for populations to cope with fast, human-mediated environmental changes. In the past, analyses of local adaptation were restricted to few model species. Nowadays, due to the increased affordability of high-throughput sequencing, local adaptation can be studied much easier by searching for patterns of positive selection using genomic data. In the present study, we analysed effects of wastewater treatment plant and ore mining effluents on stream invertebrate populations. The two different anthropogenic stressors have impacted on stream ecosystems over different time scales and with different potencies. As target organisms we selected two macroinvertebrate species with different life histories and dispersal capacities: the caddisfly Glossosoma conformis and the flatworm Dugesia gonocephala. We applied a genome-wide genetic marker technique, termed ddRAD (double digest restriction site associated DNA) sequencing, to identify local adaptation. Ten and 18% of all loci were identified as candidate loci for local adaptation in D. gonocephala and G. conformis, respectively. However, after stringent re-evaluation of the genomic data, strong evidence for local adaptation remained only for one population of the flatworm D. gonocephala affected by high copper concentration from ore mining. One of the corresponding candidate loci is arnt, a gene associated with the response to xenobiotics and potentially involved in metal detoxification. Our results support the hypotheses that local adaptation is more likely to play a central role in environments impacted by a stronger stressor for a longer time and that it is more likely to occur in species with lower migration rates. However, these findings have to be interpreted cautiously, as several confounding factors may have limited the possibility to detect local adaptation. Our study highlights how genomic tools can be used to study the adaptability and thus resistance of natural populations to changing environments and we discuss prospects and limitations of the methods. (C) 2018 Elsevier B.V. All rights reserved.</t>
  </si>
  <si>
    <t>10.1016/j.scitotenv.2018.03.109</t>
  </si>
  <si>
    <t>Metal mining; Population genomics; Positive selection; Wastewater treatment plants</t>
  </si>
  <si>
    <t>ARYL-HYDROCARBON RECEPTOR; WASTE-WATER; ORGANIC CONTAMINANTS; COMMUNITY RESPONSES; SUPPLEMENT TREMBL; NATURAL-SELECTION; BREAKING RAD; GENE FLOW; R PACKAGE; POPULATION</t>
  </si>
  <si>
    <t>tracking and analyzing public emotion evolutions during covid-19: a case study from the event-driven perspective on microblogs</t>
  </si>
  <si>
    <t>Li, Q; Wei, C; Dang, JN; Cao, L; Liu, L</t>
  </si>
  <si>
    <t>INTERNATIONAL JOURNAL OF ENVIRONMENTAL RESEARCH AND PUBLIC HEALTH</t>
  </si>
  <si>
    <t>Objective: Coronavirus disease 2019 (COVID-19) has caused substantial panic worldwide since its outbreak in December 2019. This study uses social networks to track the evolution of public emotion during COVID-19 in China and analyzes the root causes of these public emotions from an event-driven perspective. Methods: A dataset was constructed using microblogs (n = 125,672) labeled with COVID-19-related super topics (n = 680) from 40,891 users from 1 December 2019 to 17 February 2020. Based on the skeleton and key change points of COVID-19 extracted from microblogging contents, we tracked the public's emotional evolution modes (accumulated emotions, emotion covariances, and emotion transitions) by time phase and further extracted the details of dominant social events. Results: Public emotions showed different evolution modes during different phases of COVID-19. Events about the development of COVID-19 remained hot, but generally declined, and public attention shifted to other aspects of the epidemic (e.g., encouragement, support, and treatment). Conclusions: These findings suggest that the public's feedback on COVID-19 predated official accounts on the microblog platform. There were clear differences in the trending events that large users (users with many fans and readings) and common users paid attention to during each phase of COVID-19.</t>
  </si>
  <si>
    <t>10.3390/ijerph17186888</t>
  </si>
  <si>
    <t>public emotion; disaster response; microblog; event extraction; sentiment mining</t>
  </si>
  <si>
    <t>SOCIAL MEDIA; SENTIMENT ANALYSIS; CRISIS COMMUNICATION; COMMUNITY RESILIENCE; TERRORIST ATTACKS; POSITIVE EMOTIONS; TWITTER; DISASTER; SOLIDARITY; FACEBOOK</t>
  </si>
  <si>
    <t>dynamics of local impacts in low-carbon transition: agent-based modeling of lithium mining-community-aquifer interactions in salar de atacama, chile</t>
  </si>
  <si>
    <t>Liu, WJ; Agusdinata, DB</t>
  </si>
  <si>
    <t>EXTRACTIVE INDUSTRIES AND SOCIETY</t>
  </si>
  <si>
    <t>The global transition to low-carbon technologies has accelerated the extraction of lithium. Its associated implications on local socio-environmental systems, however, are often overlooked. This study develops an agent-based model, applied to the lithium extraction in Salar de Atacama, Chile to understand (1) how mining's brine pumping rates affect groundwater movements and (2) how changes in water resources affect social-stress dynamics under multiple projections of mining activities. The results show the groundwater declines significantly in the mining area with impacts spreading outwards to nearby communities. Communities near mining operations are most vulnerable to mining expansions, while more distant residents experience long-lasting impacts due to lower compensation and delayed groundwater recovery. We found the role of groundwater uncertainties in causing the mismatched evolution of environmental and social dynamics, thereby highlighting some governance challenges stemming from resource uncertainties. Our analysis also points to a possible striking increase in social stress resulting from the recent social overburden in the area, underlining the need of building community resilience. We discuss how improved resource governance, pathways to build community resilience, and alternative mining techniques to decouple water use can help industrial and regional decision-makers better manage the world's largest lithium production sites towards a sustainable future.</t>
  </si>
  <si>
    <t>10.1016/j.exis.2021.100927</t>
  </si>
  <si>
    <t>Lithium mining; Agent-based model; Socio-environmental impacts; Community resilience; Resource uncertainties</t>
  </si>
  <si>
    <t>GROUNDWATER; RESILIENCE; FUTURE; HYDRODYNAMICS; EXTRACTION; FLAT</t>
  </si>
  <si>
    <t>mapping the knowledge development and frontier areas of public risk governance research</t>
  </si>
  <si>
    <t>Lin, X; Zhang, HB; Wu, HQ; Cui, DJ</t>
  </si>
  <si>
    <t>INTERNATIONAL JOURNAL OF DISASTER RISK REDUCTION</t>
  </si>
  <si>
    <t>The interdisciplinary research field of public risk governance (PRG) emerged in response to the demands of integrative approaches to deal with increasingly complex and systemic public risks, providing intellectual support for policy frameworks, decision procedures, and institutional arrangements. The research on PRG expanded rapidly, deriving a wide range of interrelated concepts and theories; and growing into an arena of diverse knowledge domains. However, the disparate ontological and discoursal systems by scholars can hinder interdisciplinary dialogue, and impede practical implications. The study conducted an integrative analysis of current scholarly research to build a shared interdisciplinary ontology of PRG. A mixed-method design was employed, combining bibliographic analysis, unsupervised text-mining, and in-depth content analysis, to examine the scholarly research extracted from the Web of Science Core Collection database. The findings provided a holistic map of the PRG research across time and spatial distribution, identifying how diverse knowledge domains emerged, evolved, diffused, and integrated into the present PRG research realm. The future research agendas to which the PRG research field might move forward were also discussed.</t>
  </si>
  <si>
    <t>10.1016/j.ijdrr.2019.101365</t>
  </si>
  <si>
    <t>Public risk governance; Bibliographic analysis; Content analysis</t>
  </si>
  <si>
    <t>CLIMATE-CHANGE; NETWORK GOVERNANCE; PRIVATE RESPONSIBILITIES; COMMUNITY RESILIENCE; EMERGENCY MANAGEMENT; DISASTER MANAGEMENT; ADAPTATION; ACCOUNTABILITY; PERSPECTIVE; CHALLENGES</t>
  </si>
  <si>
    <t>understanding infrastructure resiliency in chennai, india using twitter's geotags and texts: a preliminary study</t>
  </si>
  <si>
    <t>Chong, WK; Naganathan, H; Liu, H; Ariaratnam, S; Kim, J</t>
  </si>
  <si>
    <t>ENGINEERING</t>
  </si>
  <si>
    <t>Geotagging is the process of labeling data and information with geographical identification metadata, and text mining refers to the process of deriving information from text through data analytics. Geotagging and text mining are used to mine rich sources of social media data, such as video, website, text, and Quick Response (QR) code. They have been frequently used to model consumer behaviors and market trends. This study uses both techniques to understand the resilience of infrastructure in Chennai, India using data mined from the 2015 flood. This paper presents a conceptual study on the potential use of social media (Twitter in this case) to better understand infrastructure resiliency. Using feature-extraction techniques, the research team extracted Twitter data from tweets generated by the Chennai population during the flood. First, this study shows that these techniques are useful in identifying locations, defects, and failure intensities of infrastructure using the location metadata from geotags, words containing the locations, and the frequencies of tweets from each location. However, more efforts are needed to better utilize the texts generated from the tweets, including a better understanding of the cultural contexts of the words used in the tweets, the contexts of the words used to describe the incidents, and the least frequently used words. (C) 2018 THE AUTHORS. Published by Elsevier LTD on behalf of Chinese Academy of Engineering and Higher Education Press Limited Company.</t>
  </si>
  <si>
    <t>10.1016/j.eng.2018.03.010</t>
  </si>
  <si>
    <t>Social media; Flooding; Engineering design</t>
  </si>
  <si>
    <t>SOCIAL MEDIA; DISASTER MANAGEMENT; COMMUNITY RESILIENCE</t>
  </si>
  <si>
    <t>effects of acid mine drainage from collapsed tailings dam on zambia's human riparian communities: a fuzzy cognitive model perspective</t>
  </si>
  <si>
    <t>Nyirenda, VR; Chama, L; Phiri, D; Musuka, CG; Simuchimba, G; Chibesa, M; Simwanda, M; Siamujompa, M; Kasubika, R; Kapembwa, S; Siachoono, S; Lwali, AC; Namukonde, N; Nyirenda, W; Chunda-Mwango, N; Kikamba, E; Phiri, CJ; M'doma, B; Nkhata, BA; Mubemba, B; Murayama, Y</t>
  </si>
  <si>
    <t>SCIENTIFIC REPORTS</t>
  </si>
  <si>
    <t>Acid Mine Drainage (AMD) is a major global environmental and public health concern, particularly in mining areas. Following the collapse of the tailings dam at Sino Metals Leach Limited Mine in Zambia's Copperbelt Province and the subsequent discharge of mining effluents into the Mwambashi River, a cross-sectional study was conducted to assess the impacts on adjoining human riparian communities. Using the Mentor Modeler software for Fuzzy Cognitive Mapping (FCM), we analysed and predicted the socio-ecological effects of AMD on the communities living adjacent to riparian areas. The study revealed that AMD and the consequent decline in water quality triggered a cascade of adverse socio-economic and health impacts among the communities living adjacent to riparian areas. Understanding the FCMs in emergencies related to such impacts is crucial for targeted interventions, particularly in data-limited environments. These insights can inform more effective allocation of limited financial and technical resources, enhance decision-making by the authorities, and support the development of community-based strategies to empower affected communities and mitigate or prevent future AMD-related disasters.</t>
  </si>
  <si>
    <t>10.1038/s41598-025-34577-0</t>
  </si>
  <si>
    <t>Acid mine drainage; Environmental disaster; Emergency planning; Risk analysis; Social-ecological system; Sustainable development goals</t>
  </si>
  <si>
    <t>antimony tolerance and accumulation in a metallicolous and a non-metallicolous population of salvia spinosa l.</t>
  </si>
  <si>
    <t>Rajabpoor, S; Ghaderian, SM; Schat, H</t>
  </si>
  <si>
    <t>PLANT AND SOIL</t>
  </si>
  <si>
    <t>AimsAntimony (Sb) is locally found at potentially toxic concentrations in mineralized soils, usually together with arsenic (As). However, local adaptation of plant populations to Sb toxicity has never been shown thus far. Here we compared Sb tolerance and accumulation between a non-metallicolous (NM) population of Salvia spinosa, and a con-specific metallicolous (M) population from a strongly Sb/As-enriched soil in Dashkasan, Iran.MethodsPlants were exposed in hydroponics to a series of Sb[III] and Sb[V] concentrations. After 3 weeks the dry weights and Sb concentrations of roots and shoots were determined.ResultsEstimated from the effects on shoot dry weight, the M population was more tolerant than the NM one, particularly to Sb[V], but to a lower degree also to Sb[III]. In both populations Sb[III] was taken up and translocated at higher rates than Sb[V]. The Sb concentrations in roots and shoots were slightly, but significantly higher in the M than in the NM population.ConclusionsSince Sb[V] and As[V] seem to follow very different detoxification pathways, it can be argued that the superior tolerance to Sb[V] in M represents a local adaptation to Sb[V] toxicity itself, rather than being a mere by-product of hypertolerance to its chemical analogue, As[V]. Since Sb[III] and As[III] or As[V] share common detoxification pathways, the apparent Sb[III] hypertolerance in the M population might represent a by-product of As hypertolerance.</t>
  </si>
  <si>
    <t>10.1007/s11104-019-03961-x</t>
  </si>
  <si>
    <t>Antimony; Arsenic; Accumulation; Tolerance; Salvia spinosa; Dashkasan</t>
  </si>
  <si>
    <t>METAL TOLERANCE; COPPER TOLERANCE; SILENE-VULGARIS; GENETIC-CONTROL; ARSENATE TOLERANCE; HOLCUS-LANATUS; MINING AREAS; CO-TOLERANCE; PLANTS; NICKEL</t>
  </si>
  <si>
    <t>high-performing local health departments relate their experiences at community engagement in emergency preparedness</t>
  </si>
  <si>
    <t>Schoch-Spana, M; Ravi, S; Meyer, D; Biesiadecki, L; Mwaungulu, G</t>
  </si>
  <si>
    <t>JOURNAL OF PUBLIC HEALTH MANAGEMENT AND PRACTICE</t>
  </si>
  <si>
    <t>Context: Local health departments (LHDs) are implementing a national mandate to engage community partners, including individuals, businesses, and community- and faith-based organizations in the larger public health emergency preparedness (PHEP) enterprise. Objective: Investigate how LHDs of varying size and resource levels successfully engage the community in PHEP to help uncover best practices that aspiring agencies can replicate, particularly in low-resource environments. Design: In-depth, semistructured qualitative interviews with practitioners from 9 highly performing LHDs. Setting: Participating agencies comprised equal amounts of small (serving &lt;50 000 residents), medium (serving 50 000-500 000 residents), and large (serving &gt;500 000 residents) LHDs and were diverse in terms of geographic region, rural-urban environment, and governance structure. Participants: A cross section of LHD staff (n = 34) including agency leaders, preparedness coordinators, public information officers, and health educators/promoters. Main Outcome Measure: Local health department performance at community engagement as determined by top scores in 2 national LHD surveys (2012, 2015) regarding community engagement in PHEP. Results: Based on key informant accounts, high-performing LHDs show a holistic, organization-wide commitment to, rather than discrete focus on, community engagement. Best practices clustered around 5 domains: administration (eg, top executive who models collaborative behavior), organizational culture (eg, solicitous rather than prescriptive posture regarding community needs), social capital (eg, mining preexisting community connections held by other LHD programs), workforce skills (eg, cultural competence), and methods/tactics (eg, visibility in community events unrelated to PHEP). Conclusions: For LHDs that wish to enhance their performance at community engagement in PHEP, change will entail adoption of evidence-based interventions (the technical what) as well as evidence-based administrative approaches (the managerial how). Smaller, rural LHDs should be encouraged that, in the case of PHEP community engagement, they have unique social assets that may help offset advantages that larger, more materially resourced metropolitan health departments may have.</t>
  </si>
  <si>
    <t>10.1097/PHH.0000000000000685</t>
  </si>
  <si>
    <t>best practices; community engagement; community resilience; emergency preparedness; local health department</t>
  </si>
  <si>
    <t>DISASTER RESILIENCE PROJECT; LOS-ANGELES; PUBLIC-HEALTH; COUNTY; PERSPECTIVES; CAPACITY</t>
  </si>
  <si>
    <t>association between ems response time and return of spontaneous circulation in out-of-hospital cardiac arrest patients in busan, south korea</t>
  </si>
  <si>
    <t>Hye-ji, K; Young-jeon, S</t>
  </si>
  <si>
    <t>AMERICAN JOURNAL OF EMERGENCY MEDICINE</t>
  </si>
  <si>
    <t>Objectives: This study evaluated the impact of response time on prehospital return of spontaneous circulation (ROSC) in out-of-hospital cardiac arrest (OHCA) patients in Busan, South Korea. Methods: We analyzed OHCA cases from Busan Fire and Disaster Headquarters (January-December 2022). A total of 2388 patients aged &gt;= 18 years with complete EMS records were included. After excluding response time groups with &lt;30 observations, 2268 cases were analyzed using SAS 9.4 for multiple logistic regression. Results: Among 2388 OHCA patients in Busan, 179 (7.5 %) achieved ROSC. Only 2.5% of cases met the 4-min response time benchmark. Multiple logistic regression identified key factors associated with higher ROSC: younger age (OR = 3.650 for 18-60 years vs. oldest group), witnessed arrest (OR = 2.788), shockable rhythm (OR = 3.105), bystander CPR (OR = 1.881), and EMS defibrillation (OR = 4.554). Response time showed the strongest association at &lt;4 min (OR = 2.812), declining progressively at 5 min (OR = 1.748), 6 min (OR = 1.339), and 7 min (OR = 1.146). Conclusions: Shorter response times were associated with increased ROSC rates in OHCA patients. This highlights the need for policy measures to reduce response times, including community-based early recognition systems and optimized emergency resource allocation. (c) 2026 Elsevier Inc. All rights are reserved, including those for text and data mining, AI training, and similar technologies.</t>
  </si>
  <si>
    <t>10.1016/j.ajem.2025.12.039</t>
  </si>
  <si>
    <t>Out-of-hospital cardiac arrest; Emergency medical services; Response time; Resuscitation; Return of spontaneous circulation</t>
  </si>
  <si>
    <t>CARDIOPULMONARY-RESUSCITATION; VENTRICULAR-FIBRILLATION; THERAPEUTIC HYPOTHERMIA; NEUROLOGICAL OUTCOMES; SURVIVAL; PREDICTORS; NATIONWIDE; AMBULANCE; RHYTHM; HEART</t>
  </si>
  <si>
    <t>advancing athens' circular economy: sewer mining for urban water reclamation</t>
  </si>
  <si>
    <t>Monokrousou, K; Makropoulos, C; Katsouras, G; Tsalas, N; Samios, S; Lytras, E; Tsimnadis, K</t>
  </si>
  <si>
    <t>URBAN WATER JOURNAL</t>
  </si>
  <si>
    <t>Water scarcity is recognised as a crucial issue worldwide, particularly prevalent in semi-arid regions of Southern Europe. The escalating human demand for irrigation, drinking, recreation, and other essential social needs, increasingly outstrips the available supply. The impact of climate change on hydrological cycles exacerbates this issue as well. In this context, innovative water reuse technologies that turn waste into a valuable resource have garnered increasing attention in recent years. These technologies not only enhance the circularity of urban environments but also booster community resilience and facilitate a sustainable transition to adapt to projected climate change. Sewer mining, a pioneering wastewater recycling technology, is gradually increasing in popularity thanks to its efficiency in treatment and minimal space requirements for installation. This innovative technology produces treated water from sewerage extracted from the local sewers and reuses it at the point of demand. The current research has investigated the implementation of this technology in a real world environment, at the City of Athens, Greece, over the past three years and has optimised its operational procedures and efficiency. This study conclusively demonstrates that sewer mining indeed stands as a viable solution for water reuse, particularly in densely urbanized areas with limited space and susceptibility to drought. By integrating sewer mining alongside freshwater conservation efforts, cities can effectively increase their urban green spaces, mitigating the adverse effects of urban heat islands and heatwaves. Additionally, such solutions alleviate pressures on existing sewage treatment facilities. Therefore, leveraging the latent potential of sewage as a valuable resource hidden beneath city streets emerges as a recommended strategy for enhancing urban resilience against climate change.</t>
  </si>
  <si>
    <t>10.1080/1573062X.2024.2446520</t>
  </si>
  <si>
    <t>geomorphic index alterations and socioeconomic implications: a case study of a coastal river system in bangladesh</t>
  </si>
  <si>
    <t>Goswami, S; Billah, MM; Hossen, MS; Ovi, MH; Saha, SC; Alam, MMT; Bhowmik, PK; Farazi, AH; Islam, MA; Roy, DK</t>
  </si>
  <si>
    <t>PROGRESS IN DISASTER SCIENCE</t>
  </si>
  <si>
    <t>Riverbank erosion, driven by natural processes and human activities, poses significant socio-environmental challenges in Bangladesh. This study investigated the geomorphic evolution and socioeconomic impacts of riverbank erosion along the Sandhya River in Babuganj Upazila, Barishal, Bangladesh. The primary aim was to assess how natural processes and human interventions, such as sand mining and infrastructure development, have altered the river morphology and affected local communities. Landsat imagery from 1980 to 2023, with a 10-year interval, was analyzed to assess key geomorphic indices-sinuosity, channel width, widening rate, and migration rate using remote sensing, geographic information systems (GIS), and field surveys. The results indicate significant geomorphic transformation, with sinuosity varying between 1.01 and 2.08, with a post-2000 increase in channel widening (up to 27 m/year) linked to intensified sand mining and brickfield expansion. Mid-channel bar formation, absent before 2000, reached 4.0 km2 by 2023, affecting flow patterns. The widening rate shifted from a maximum of 19 m/year (1980-2000, pre-sand mining) to 27 m/year (2000-2023, post-sand mining), with a peak near Doarika Bridge, which increased the vulnerability of the Barishal Airport area, averaging 3.65 m/year. Socioeconomic surveys (n = 154) reveal severe livelihood disruption: 65 % of lost land was agricultural, 73 % of affected households migrated to urban centers, and 45 % fell into debt. The most affected areas were Dehergati, Rahamatpur, Rakudia, and Kedarpur, emphasizing the need for capacity building. The study concludes that integrated geomorphic restoration and community resilience planning are urgently needed to address erosion-driven displacement and economic vulnerability in the region.</t>
  </si>
  <si>
    <t>10.1016/j.pdisas.2025.100450</t>
  </si>
  <si>
    <t>Riverbank Erosion; Accretion; Geomorphic evolution; Sinuosity index; Socioeconomic impacts; Sandhya River</t>
  </si>
  <si>
    <t>GRAVEL EXTRACTION; EROSION; CONSEQUENCES; FLOOD</t>
  </si>
  <si>
    <t>variations in microbial community structure and extracellular enzyme stoichiometry in heavy metal-contaminated soil under different fertilization regimes</t>
  </si>
  <si>
    <t>Huang, X; Tang, ST; Xin, XM; Chen, LX; He, XY; Huang, YY; Yu, FM; Li, Y</t>
  </si>
  <si>
    <t>APPLIED SOIL ECOLOGY</t>
  </si>
  <si>
    <t>Nitrogen (N) deficiency significantly inhibits microorganism and plant growth in mining areas, posing challenges to bioremediation efforts. An analysis of the relationship between soil nutrients and enzyme activity offers insights into microbial metabolic limitations and community dynamics. In a comprehensive one-year experiment, two N fertilizers (ammonium chloride (AC) and urea (U)) along with nine distinct fertilization regimes were applied to heavy metal-contaminated soil. The results showed that N fertilization increased available nutrient contents (especially ammonium nitrogen (NH4+-N), nitrate nitrogen (NO3--N) and available potassium (AK)) in the soil. Moreover, N fertilizers significantly enhanced the activities of six key enzymes (cellulase, invertase, amylase, urease, protease, and phosphatase), as well as the contents of three organic acids (oxalic, tartaric, and malic) in the soil. Interestingly, vector lengths decreased by 34.1 %, while vector angles increased by 50.6 % during the experimental period, indicating that N fertilization alleviated soil N and C limitations but exacerbated P limitation in soil microbial metabolic activities. Furthermore, N fertilization promoted the growth of copiotrophic bacteria (e.g., Proteobacteria and Bacteroidetes) while inhibiting the growth of oligotrophic bacteria (such as Acidobacteria), thereby improving microbial community resilience. Redundancy analysis, Pearson's correlation analysis and structural equation modeling revealed significant associations between the relative abundance of dominant soil microbial phyla (bacteria and fungi), extracellular enzyme activity and related stoichiometric ratios, highlighting the interconnectedness of microbial community composition and enzymatic processes. In summary, N addition induced notable alterations in soil properties, influencing enzyme secretion and microbial community structure. These findings suggest that optimized N fertilization regimes can alleviate nutrient limitations, enhance microbial activity, and improve microbial community stability, providing a practical strategy for accelerating bioremediation and ecosystem recovery in nutrient-deficient mining soils.</t>
  </si>
  <si>
    <t>10.1016/j.apsoil.2025.106286</t>
  </si>
  <si>
    <t>Nitrogen fertilization; Enzyme activity; Extracellular enzyme stoichiometry; Microbial community; Heavy metal</t>
  </si>
  <si>
    <t>LONG-TERM NITROGEN; ECOENZYMATIC STOICHIOMETRY; UREA HYDROLYSIS; BACTERIAL; DIVERSITY; BIOMASS; MICROORGANISMS; RHIZOSPHERE; DEPOSITION; RESPONSES</t>
  </si>
  <si>
    <t>assessing hydro-climatological variability and land use characteristics of the headwater basins of the indian himalayan region</t>
  </si>
  <si>
    <t>Rautela, KS; Kanwar, N; Kuniyal, JC; Sofi, MS; Goyal, MK; Bhoj, AS; Bhat, SU; Rashid, I; Negi, R; Chand, K; Devi, CAB; Singh, HB</t>
  </si>
  <si>
    <t>EARTH SYSTEMS AND ENVIRONMENT</t>
  </si>
  <si>
    <t>Understanding the anthropogenic impacts, hydro-climatological variability, and adaptive practices in the Indian Himalayan Region (IHR) is essential for promoting sustainable development. Given the ecological fragility and livelihood dependence of the region on hydro-climatic systems, this study contributes to SDG 6 (Clean Water), SDG 13 (Climate Action), SDG 15 (Life on Land), SDG 1 (No Poverty), and SDG 11 (Sustainable Communities) by linking climate, land use, and community resilience. Despite growing research on climate-induced hydrological shifts, existing studies often lack basin-specific, multi-decadal evaluations integrating both climatic and land use land cover (LULC) dynamics with community-level insights. This study addresses this gap by evaluating hydro-climatic extremes and LULC changes on hydrological responses in five different river basins (i.e., Sindh, Parbati, Dhauliganga, Ranganadi, and Imphal) of the IHR using gridded datasets, field-gauging stations, and LISS-III/IV satellite data (2005, 2013, 2017). Principal Component Analysis (PCA) identifies temperature as the key driver in snow-fed basins, while precipitation governs rainfall-dependent processes in the Ranganadi basin. Canonical Correlation Analysis (CCA) corroborates these findings, highlighting temperature and precipitation as the primary climatic drivers. Hydrological responses were assessed using the Soil and Water Assessment Tool (SWAT). The results show increased extreme hydro-climatic events (1978-2020), with flash floods affecting these basins. LULC analysis reveals forest and glacier cover declines, coupled with expansions in barren, agricultural, and urban areas, indicating environmental degradation. SWAT simulations achieved strong model fits (R2 &gt; 0.8), showing snowmelt contributing 17-44% and rainfall 10-45% to hydrological responses, with significant evapotranspiration losses (15-39%) in the rainfed Ranganadi basin. A field study involving 1,500 household interviews validated simulated results, facilitating workshops and skill development programs to improve livelihoods under changing hydro-climatic and land-use scenarios. These findings inform adaptive practices through policymaking, community interventions, and capacity-building programs to mitigate hydro-climatic risks and promote sustainable development in the IHR. This graphical abstract illustrates climate change research in the Indian Himalayan Region, examining hydroclimatic extremes and their impacts on headwater basins. Input variables are categorized as hydro-meteorological data (precipitation, temperature, relative humidity, solar radiation, wind speed, and streamflow), spatial data (digital elevation maps, land use land cover, soil maps, slope), and socio-economic data (questionnaire surveys from the Himalayan villages about climate change and anthropogenic impacts). The study area is depicted through basin maps showing river systems with color classifications. The methodology integrates these datasets, distinguishing between snow-fed and rain-fed regions with their specific characteristics. The results show observed versus simulated discharge patterns for Dhauliganga, Parbati, Sindh, and Ranganadi river basins, revealing temporal variations and model accuracy. The analysis identifies impacts including LULC changes, increased mining, forest burning, altered streamflow, hydroelectric project development, and biodiversity loss. The research offers policy recommendations and mitigation measures to enhance livelihood options through green skill development, address human vulnerability (especially women's adaptation and resilience), and implement effective communication strategies.</t>
  </si>
  <si>
    <t>10.1007/s41748-025-00662-7</t>
  </si>
  <si>
    <t>Adaptive practices; CCA; Hydro-climatic variability; Indian Himalayan Region; Land use changes; PCA; Sustainable development</t>
  </si>
  <si>
    <t>CLIMATE-CHANGE; WATER-QUALITY; IMPACTS; GLACIER; RIVER; MODEL; MELT; CALIBRATION; ECOSYSTEMS; RUNOFF</t>
  </si>
  <si>
    <t>correlation between gut dysbiosis, metabolite alterations and erosive hand osteoarthritis - an observational study within the community-based xiangya osteoarthritis (xo) cohort</t>
  </si>
  <si>
    <t>Xie, DX; Wang, YQ; Li, JT; Yang, T; Zhang, YQ; Zhang, WY; Doherty, M; Zhu, YQ; Yang, ZD; Wang, YL; Wei, J; Lei, GH; Zeng, C</t>
  </si>
  <si>
    <t>OSTEOARTHRITIS AND CARTILAGE</t>
  </si>
  <si>
    <t>Objectives: Erosive hand osteoarthritis (EHOA) is an aggressive subtype of hand osteoarthritis (HOA) with unclear pathogenesis. Since gut dysbiosis and related metabolite alterations may exacerbate inflammation and accelerate bone destruction, we investigated whether these abnormalities were involved in EHOA. Methods: Participants were drawn from the Xiangya Osteoarthritis Study. We compared gut microbial alpha diversity and beta-diversity between EHOA and controls (neither EHOA nor non-erosive HOA), and analyzed associations between microbial species abundance, functions, and EHOA. Targeted blood metabolomics were performed to identify microbiome-associated metabolites in EHOA. The associations between EHOArelated microbial species and blood metabolites were examined through multi-omics analyses. Results: Among 1324 participants, significant differences in alpha-diversity (EHOA: median=4.53, non-HOA control: median=4.16; median difference=0.37 [95%CI: 0.09-0.57], P=0.016) and beta-diversity (R2=0.0 02 [95%CI: 0.0018-0.0 06], P=0.015) were observed at the species level between EHOA and controls. Participants with EHOA had a higher relative abundance of Alistipes senegalensis (beta coefficient: 0.17 [95%CI: 0.07-0.26]) and Fournierella massiliensis (beta coefficient:0.39 [95%CI: 0.28-0.49]). Tryptophan metabolism was the main altered metabolic pathway. Targeted blood metabolomics showed higher levels of L-5-hydroxytryptophan (beta coefficient:0.38 [95%CI: 0.15-0.61]), 3-indoleglyoxylic acid (beta coefficient:0.35 [95%CI: 0.01-0.69]), 5-hydroxyindoleacetic acid (beta coefficient: 0.27 [95%CI: 0.09-0.45]), indoleacrylic acid (IA) (beta coefficient: 0.23 [95%CI: 0.001-0.46]), and serotonin (beta coefficient: 0.20 [95%CI: 0.004-0.40]), alongside lower levels of L-tryptophan (beta coefficient:-0.41 [95%CI: -0.75 to-0.06]) and indole-3-acetyl-aspartate (beta coefficient:-1.05 [95%CI: -1.79 to-0.32]) in EHOA. IA was positively correlated with EHOArelated microbial species, particularly Alistipes senegalensis (beta coefficient: 0.20 [95%CI: 0.14-0.27]). Conclusions: A higher relative abundance of Alistipes senegalensis and alterations in tryptophan metabolites, particularly higher levels of IA, are associated with EHOA. (c) 2025 Osteoarthritis Research Society International. Published by Elsevier Ltd. All rights are reserved, including those for text and data mining, AI training, and similar technologies.</t>
  </si>
  <si>
    <t>10.1016/j.joca.2025.07.004</t>
  </si>
  <si>
    <t>Erosive hand osteoarthritis; Gut dysbiosis; Metabolite alterations</t>
  </si>
  <si>
    <t>ARYL-HYDROCARBON RECEPTOR; NONEROSIVE OSTEOARTHRITIS; RHEUMATOID-ARTHRITIS; GENERAL-POPULATION; MICROBIOTA; PREVALENCE; ACTIVATION</t>
  </si>
  <si>
    <t>a gis and field-based assessment of the ecological consequences of illegal mining (galamsey) on blackfly breeding sites in ghana: implications for the sustainable development goals</t>
  </si>
  <si>
    <t>Sumboh J.G.; Appiah G.; Oblim F.T.; Oboubie E.; Wilson M.D.; Kaneko S.; deSouza D.K.</t>
  </si>
  <si>
    <t>Scopus</t>
  </si>
  <si>
    <t>Background: The Ofin River basin has historically supported Simulium blackfly breeding, vectors of Onchocerca, yet recent Programme reports have noted a sharp decline in monitored populations. With illegal artisanal mining (galamsey) expanding around the basin, this study assessed how associated ecological changes may influence habitat suitability for blackfly breeding across three riverine communities (Adwuman, Buabenso, and Kyekyewere). Methods: Water discharge and quality were assessed through field measurements and laboratory analyses of pH, electrical conductivity, turbidity, colour, total suspended solids (TSS), and total dissolved solids (TDS). Satellite imagery from 2008, 2017, and 2022/23 was analysed using Iso Cluster Unsupervised Classification algorithm (ISODATA), Principal Raster Components Analysis (PRCA) and the Normalized Difference Vegetation Index (NDVI) to quantify transitions and vegetation health using ArcGIS Pro. Results: Water discharge rates varied (Adwuman: 181.57 m3/s, Buabenso: 78.93 m3/s, Kyekyewere: 111.95 m3/s) and quality analysis showed differences in key parameters. Adwuman’s pH was 6.98, conductivity (145.5 µS/cm), turbidity (3392.5 NTU), colour (3375 Hz) and TSS (3630 mg/L). Buabenso had a pH of 6.98, conductivity 146.75 µS/cm, turbidity 3525 NTU, colour at 3812.5 Hz and TSS of 3857.5 mg/L. Kyekyewere recorded the lowest pH (6.95) and conductivity (145.25 µS/cm), but the highest turbidity (3725 NTU), colour (4175 Hz) and TSS (4342.5 mg/L). Forest cover declined by 10.72, 7.41, and 8.80 percentage points in Adwuman, Buabenso, and Kyekyewere, respectively, while light vegetation increased by 15.71, 15.00, and 18.93 points. Water coverage expanded by 10.81, 6.12, and 5.26 percentage points across the communities, indicating hydrological alteration. NDVI revealed widespread declines in vegetation health and density, particularly near mining zones. Conclusion: The combined effects of extreme sedimentation, vegetation degradation and riparian disturbance suggest ecological conditions that are increasingly unsuitable for blackfly breeding in the Ofin River basin. The disruptions also threaten food security, clean water access and ecosystem integrity, with implications for achieving SDG 2, 3, 6, and 15. Strengthened River management, reforestation of degraded riparian areas, enforcement against illegal mining and community-based monitoring are needed to restore ecological function and safeguard both biodiversity and public health. © The Author(s) 2026.</t>
  </si>
  <si>
    <t>10.1186/s41182-026-00944-4</t>
  </si>
  <si>
    <t>Blackflies; Illegal mining; Land cover change; Onchocerciasis; Remote sensing; Vector ecology</t>
  </si>
  <si>
    <t>assessing the sustainability of acid mine drainage (amd) treatment in south africa</t>
  </si>
  <si>
    <t>Masindi V.; Chatzisymeon E.; Kortidis I.; Foteinis S.</t>
  </si>
  <si>
    <t>The environmental sustainability of acid mine drainage (AMD) treatment at semi-industrial scale is examined by means of the life cycle assessment (LCA) methodology. An integrated process which includes magnesite, lime, soda ash and CO2 bubbling treatment was employed to effectively treat, at semi-industrial scale, AMD originating from a coal mine in South Africa. Economic aspects are also discussed. AMD is a growing problem of emerging concern that cause detrimental effects to the environment and living organisms, including humans, and impose on development, health, access to clean water, thus also affect economic growth and cause social instability. Therefore, sustainable and cost effective treatment methods are required. A life cycle cost analysis (LCCA) revealed the viability of the system, since the levelized cost of AMD treatment can be as low as R112.78/m3 (€7.60/m3 or $9.35/m3). Moreover, due to its versatility, the system can be used both at remote locales, at stand-alone mode (e.g. using solar energy), or can treat AMD at industrial scale, thus substantially improving community resilience at local and national level. In terms of environmental sustainability, 29.6 kg CO2eq are emitted per treated m3 AMD or its environmental footprint amount to 2.96 Pt/m3. South Africa's fossil-fuel depended energy mix and liquid CO2 consumption were the main environmental hotspots. The total environmental footprint is reduced by 45% and 36% by using solar energy and gaseous CO2, respectively. Finally, AMD sludge valorisation, i.e. mineral recovery, can reduce the total environmental footprint by up to 12%. © 2018 Elsevier B.V.</t>
  </si>
  <si>
    <t>10.1016/j.scitotenv.2018.04.108</t>
  </si>
  <si>
    <t>Acid rock drainage (ARD); Hazardous wastes; Scenario analysis; SimaPro; Wastewater treatment; Water management</t>
  </si>
  <si>
    <t>Coal Mining; Hydrogen-Ion Concentration; South Africa; Waste Disposal, Fluid; Waste Products; Water Pollutants, Chemical; South Africa; Biology; Carbon dioxide; Coal mines; Cost benefit analysis; Cost effectiveness; Costs; Drainage; Fossil fuels; Life cycle; Lime; Magnesite; Sodium Carbonate; Solar energy; Wastewater treatment; Water management; Water treatment; aluminum; calcium; calcium oxide; carbon dioxide; iron; magnesium; magnesium oxide; manganese; sodium; sodium carbonate; sodium hydroxide; sulfate; Acid rock drainage; Cost effective treatments; Environmental sustainability; Hazardous wastes; Life Cycle Assessment (LCA); Life-cycle cost analysis; Scenario analysis; Simapro; acid mine drainage; assessment method; carbon dioxide; hazardous waste; scenario analysis; sustainability; wastewater treatment; water management; acid mine drainage; acidification; acidity; alkalinity; Article; climate change; coal mining; cost effectiveness analysis; economic aspect; economic development; ecotoxicity; effluent; electric conductivity; environmental impact; environmental sustainability; eutrophication; hazardous waste; ionizing radiation; land use; landfill; life cycle assessment; nonhuman; ozone depletion; photochemistry; priority journal; renewable energy; reverse osmosis; solar energy; South Africa; waste water management; water hardness; water management; water quality; analysis; coal mining; pH; procedures; sewage; waste; water pollutant; Sustainable development</t>
  </si>
  <si>
    <t>crisis communication in megathrust discourse: risk preparedness or fear amplification?</t>
  </si>
  <si>
    <t>Fitriyah P.; Nurhaeni I.D.A.; Rahmanto A.N.; Kartono D.T.</t>
  </si>
  <si>
    <t>This research examines how crisis communication influences public responses to the risk of megathrust earthquakes, particularly whether digital discourse fosters preparedness or amplifies fear. More specifically, this research looks at how public engagement, risk awareness, and perceived constraints shape behavioural outcomes in disaster contexts, such as a megathrust earthquake, using the Situational Theory of Publics (Grunig, 1997) and Risk Perception Theory (Slovic, 1987). To address these dynamics, a mixed-methods approach was applied: computational text mining and qualitative interviews. To contextualise the digital discourse, semi-structured interviews were conducted with institutional actors (BMKG, BNPB), disaster communication specialists, and community-based organisations. Using Voyant Tools, incorporating Brown and Yule’s (1983) framework to identify thematic patterns through word frequency and co-occurrence analysis, the findings reveal that the corpus consisted of 1,253,214 words, 61,885 unique word forms as well as dominant terms such as “megathrust” (64,160), “gempa” (33,146), and “potensi” (6,553). This also indicates heightened public concern and awareness as well as that public preparedness is strongly influenced by risk perception and involvement. However, high levels of constraint recognition—manifested as distrust in institutions or uncertainty about appropriate actions—diminish proactive responses. While BMKG and BNPB were frequently mentioned, the clear message was lack of clarity, emotional resonance, and educational value. This research underscores the need to formalise empathetic, two-way crisis communication protocols through national SOPs. In summary, integrating adaptive messaging, real-time sentiment monitoring, and inclusive engagement strategies is vital for transforming awareness into preparedness and mitigating fear-driven reactions. © SEARCH Journal 2025.</t>
  </si>
  <si>
    <t>10.58946/search-17.2.P4</t>
  </si>
  <si>
    <t>Crisis communication; preparedness; risk perception; situational theory of publics; social media</t>
  </si>
  <si>
    <t>social media use in disaster response: empowering community resilience</t>
  </si>
  <si>
    <t>Ginzarly M.; Teller J.; Dujardin S.</t>
  </si>
  <si>
    <t>This article contributes to ongoing discussions on the role of grassroots mobilizations on social media in building community resilience and tackling specific challenges during disaster events. It investigates the use of two social media platforms, Facebook and Twitter, now referred to as X, during the 2021 flood in Belgium, both in the immediate aftermath of the crisis and in the short-term. First, it analyzes the activities of Facebook community groups established post-crisis over a six-month period. Then, it examines tweets related to the 2021 flood in Belgium. Finally, it complements the social media data with online interviews conducted with Facebook groups administrators. The analytical framework employs (1) a social media data-driven quantitative and qualitative text analysis using topic modeling and sentiment analysis, and (2) an inductive thematic analysis of interviews. The findings highlight the different roles played by the two social media platforms. Facebook served as an effective platform to mobilize and organize local communities for immediate and practical support, while Twitter served as a platform for broader global engagement and advocacy. The convergence of results from diverse data sources provides comprehensive insights into the effectiveness and challenges of leveraging social media for community resilience in the aftermath of disaster events. © 2025 The Author(s). Published by Informa UK Limited, trading as Taylor &amp; Francis Group.</t>
  </si>
  <si>
    <t>10.1080/17538947.2025.2521791</t>
  </si>
  <si>
    <t>community resilience; Crisis response; Facebook groups; grassroots mobilization; social media; topic modeling</t>
  </si>
  <si>
    <t>Data mining; Emergency services; Sentiment analysis; Tweets; Belgium; Community resiliences; Crisis response; Facebook; Facebook group; Grassroot mobilization; Mobilisation; Social media; Social media platforms; Topic Modeling; community response; disaster management; disaster relief; local participation; social media; Social networking (online)</t>
  </si>
  <si>
    <t>cyber-physical-social model of community resilience by considering critical infrastructure interdependencies</t>
  </si>
  <si>
    <t>Valinejad J.; Mili L.</t>
  </si>
  <si>
    <t>Each year, several disasters occur, resulting in enormous human, infrastructural, and economic losses. To minimize losses and ensure an adequate emergency response, it is vital to prepare the community for greater shock absorption and recovery after an occurrence. This raises the concept of community resilience and also demands appropriate metrics and prediction models for improved preparedness and adaptability. While a community is impacted in three main ways during a disaster, namely social, physical, and cyber there are currently no tools to model their interrelationship. Thus, this article presents a multiagent cyber-physical-social model of community resilience, taking into account the interconnection of power systems, emergency services, social communities, and cyberspace. To validate the model, we used data on two hurricanes (Irma and Harvey) collected from Twitter, GoogleTrends, FEMA, power utilities, CNN, and Snopes (a fact-checking organization). We also describe methods for quantifying social metrics, such as the level of anxiety, risk perception, and cooperation using social sensing, natural language processing, and text mining tools. We examine the suggested paradigm through three different case studies: 1) hurricanes Irma and Harvey; 2) a group of nine agents; and 3) a society comprised of six distinct communities. According to the results, cooperation can positively change individual behavior. Relationships within a community are so crucial that a smaller population with greater empathy may be more resilient. Similar dynamic changes in social characteristics occur when two empathetic communities share resources after a disaster. © 2014 IEEE.</t>
  </si>
  <si>
    <t>10.1109/JIOT.2023.3277450</t>
  </si>
  <si>
    <t>Community resilience; critical infrastructures; cyber-physical-social system; fake news; natural language processing; power systems; social media; urban computing</t>
  </si>
  <si>
    <t>Cyber Physical System; Cybersecurity; Disaster prevention; Emergency services; Fault tolerance; Hurricanes; Internet of things; Losses; Multi agent systems; Natural language processing systems; Public works; Risk perception; Social networking (online); Community resiliences; Cybe-physical-social system; Cyber physicals; Fake news; Language processing; Natural language processing; Natural languages; Power; Power system; Resilience; Social media; Social systems; Urban computing; Critical infrastructures</t>
  </si>
  <si>
    <t>desalination in chile's mining regions: global drivers and local impacts of a technological fix to hydrosocial conflict</t>
  </si>
  <si>
    <t>Odell S.D.</t>
  </si>
  <si>
    <t>This article examines the nature and impacts of an expansion of the use of desalinated seawater by the mining industry, within the context of climate change. Specifically, it investigates how and why large-scale desalination operations have been employed to respond to community-based conflict over scarce freshwater resources in mining regions, and with what effect. This question was examined through interviews, focus groups, and participant observation among community members, mining company representatives, and government officials in three case study sites in Chile that have experienced recent conflict over water: regions surrounding the Escondida and Los Pelambres mines, which are both employing desalination to resolve concerns over water, and the Andina mine, which is not. Methods also included interviews and a focus group with national-level stakeholders in the capital, Santiago, and analysis of data on water use in Chile's copper mining industry overall. Findings indicate that a broad range of stakeholders are optimistic about the potential for desalination to reduce conflict over water in mining regions. In practice, the intervention has eased tensions with and brought benefits to highland communities near mining operations, but is likely to displace socioenvironmental harms of mining to coastal regions. Moreover, the addition of seawater supplies to mining operations will not reduce freshwater use overall, but rather, permit an expansion of mining production and its associated local and global impacts. The article concludes that desalination cannot resolve socioenvironmental conflict in mining regions if the underlying political and economic structures that cause the need for them in the first place are not addressed. © 2021 Elsevier Ltd</t>
  </si>
  <si>
    <t>10.1016/j.jclepro.2021.129104</t>
  </si>
  <si>
    <t>Chile; Climate change; Conflict; Extractive industries; Political ecology; Water desalination</t>
  </si>
  <si>
    <t>Climate change; Ecology; Economics; Seawater; Water filtration; Water supply; Chile; Conflict; Extractive industry; Focus groups; Large-scales; Local impacts; Mining operations; Over water; Political ecology; Water desalination; Desalination</t>
  </si>
  <si>
    <t>analysing information diffusion in natural hazards using retweets - a case study of 2018 winter storm diego</t>
  </si>
  <si>
    <t>Xu J.; Qiang Y.</t>
  </si>
  <si>
    <t>Information diffusion on social media during disasters is an important indicator of community resilience. As a common natural hazard in the U.S., winter storms often cause adverse socio-economic impacts on human society. Understanding people’s perception and behaviours during winter storms is important to mitigate negative impacts and promote community resilience. This study applies text mining and spatial analysis methods on Twitter data during Winter Storm Diego on 2018 December. Different from previous studies focusing on original tweets, this study utilized retweets to model information diffusion in the contiguous United States and analysed the geographic distribution of information flows in various topics. The diffusion extent and direction of the storm-related retweets were compared among different topics. Kernel density maps and standard deviational ellipse were applied to model the spatial distribution of the retweets in different topics. The result shows that people outside of the affected areas expressed more negative sentiment towards the storm than people in the affected areas. Also, distance decay of retweet density has been found and the decay rate differs in different topics. These findings of the analyses will provide support for disaster relief, information communication and broadcasting through social media platforms. © 2021 The Author(s). Published by Informa UK Limited, trading as Taylor &amp; Francis Group, on behalf of Nanjing Normal University.</t>
  </si>
  <si>
    <t>kernel density; sentiment analysis; Social media; text mining; topic modelling</t>
  </si>
  <si>
    <t>United States; data assimilation; disaster relief; information and communication technology; natural hazard; perception; social behavior; social media; social network; spatial analysis; spatial distribution; storm; technology diffusion; winter</t>
  </si>
  <si>
    <t>assessment of online public opinions on large infrastructure projects: a case study of the three gorges project in china</t>
  </si>
  <si>
    <t>Jiang H.; Qiang M.; Lin P.</t>
  </si>
  <si>
    <t>Public opinion becomes increasingly salient in the ex post evaluation stage of large infrastructure projects which have significant impacts to the environment and the society. However, traditional survey methods are inefficient in collection and assessment of the public opinion due to its large quantity and diversity. Recently, Social media platforms provide a rich data source for monitoring and assessing the public opinion on controversial infrastructure projects. This paper proposes an assessment framework to transform unstructured online public opinions on large infrastructure projects into sentimental and topical indicators for enhancing practices of ex post evaluation and public participation. The framework uses web crawlers to collect online comments related to a large infrastructure project and employs two natural language processing technologies, including sentiment analysis and topic modeling, with spatio-temporal analysis, to transform these comments into indicators for assessing online public opinion on the project. Based on the framework, we investigate the online public opinion of the Three Gorges Project on China's largest microblogging site, namely, Weibo. Assessment results present spatial-temporal distributions of post intensity and sentiment polarity, reveals major topics with different sentiments and summarizes managerial implications, for ex post evaluation of the world's largest hydropower project. The proposed assessment framework is expected to be widely applied as a methodological strategy to assess public opinion in the ex post evaluation stage of large infrastructure projects. © 2016 Elsevier Inc.</t>
  </si>
  <si>
    <t>10.1016/j.eiar.2016.06.004</t>
  </si>
  <si>
    <t>China; Public opinion assessment; Sentiment analysis; Social media; Three Gorges Project; Topic modeling</t>
  </si>
  <si>
    <t>China; Three Gorges; Concrete dams; Data mining; Modeling languages; Natural language processing systems; Social networking (online); China; Public opinions; Sentiment analysis; Social media; Three Gorges project; Topic Modeling; assessment method; development project; hydroelectric power; infrastructure planning; numerical model; participatory approach; perception; project assessment; public attitude; social media; spatiotemporal analysis; Social aspects</t>
  </si>
  <si>
    <t>environmental degradation and land use change: an interdisciplinary ecological perspective</t>
  </si>
  <si>
    <t>Mulyanie E.; Rohmat D.; Setiawan I.; Waluya B.</t>
  </si>
  <si>
    <t>This study assessed environmental issues and land use change in Tasikmalaya, West Java, Indonesia, through an interdisciplinary perspective. Field observations, assessment mapping, photo documentation of rivers, hills, and mining sites, and structured interviews were used to integrate ecological, geographical, and social insights. Results: Sand mining and land conversion were associated with vegetation loss, soil erosion, river sedimentation, biodiversity decline, and shifting livelihoods from agriculture toward extractive work. Reasoning: These outcomes occurred because intensive resource exploitation, limited enforcement, and weak monitoring disrupted habitats, altered hydrological processes, and reduced ecosystem services, while constrained economic options increased household dependence on mining. Impact: The study informs ecosystem-based restoration and sustainable land management, including reforestation, riverbank stabilization, and rehabilitation of mined lands, combined with community participation and livelihood support, to rebuild ecological function and social resilience. The integrated evidence provides a spatially explicit basis for policy and targeted action in mining-affected landscapes. © School of Engineering, Taylor’s University.</t>
  </si>
  <si>
    <t>Biodiversity loss; Ecosystem restoration; Environmental issues; Land use change; Sand mining</t>
  </si>
  <si>
    <t>social resilience and disaster resilience: a strategy in disaster management efforts based on big data analysis in indonesian's twitter users</t>
  </si>
  <si>
    <t>Khusna N.I.; Sumarmi; Bachri S.; Astina I.K.; Susilo S.; Idris</t>
  </si>
  <si>
    <t>Disasters have various causes, disaster management efforts, and actors involved. A systematic big data analysis is needed to identify social resilience to determine the quality of the country's resilience on disasters. This study aims to (1) determine perceptions about the causes of disasters and (2) understand perceptions of disaster management efforts. (3) identify actors involved in disasters. (4) analyze the relationship between social resilience and disaster resilience using large data sources. (5) formulate a disaster management. The research was conducted by describing in detail from the opinions of the twitter user community about disasters using the text mining method. The data retrieval and analysis process was carried out using Computer-Assisted Qualitative Data Analysis Software (CAQDAS) with MAXQDA series 2020, Gephi version 0.10.0 and SWOT analysis. The results of the study show: (1) Most of the perceptions of the causes of disasters are associated with religion; (2) Most of the perceptions about disaster management efforts are based on the application of disaster management at the recovery stage; and (3) The actors who are most involved in disaster management efforts are the security forces countries. (4) There is a strong relationship between social resilience and disaster resilience, as shown by each actor having a role in disaster management efforts. (5) There are nine formulations of development strategies in disaster management efforts. The limitation of this research is that it only uses big data from Twitter and social media sources. The implications of this research can be used as a reference for governments, organizations, communities, or others involved in disaster management efforts, especially in countries that have diversity and are prone to disasters. © 2023 The Authors</t>
  </si>
  <si>
    <t>10.1016/j.heliyon.2023.e19669</t>
  </si>
  <si>
    <t>Big data; Disaster; Resilience; Social; Twitter</t>
  </si>
  <si>
    <t>participatory research approaches in mining-impacted hydrosocial systems</t>
  </si>
  <si>
    <t>Torso K.; Cooper C.M.; Helkey A.; Meyer C.; Kern A.L.; Wardropper C.B.</t>
  </si>
  <si>
    <t>As demonstrated by Indigenous and rural scholars, participatory research approaches can facilitate capacity building, promote data accessibility, and accomplish community goals within complex hydrosocial systems. To demonstrate challenges and opportunities for participatory research, we describe hydrosocial territories in a mining-impact region in northern Idaho. We then compare two community-university partnerships in the study region, which included Tribal and non-Tribal rural communities. We find that the Participatory Action Research and Indigenous Research Methodologies frameworks provide a robust set of practices and methods for conducting more equitable and inclusive research. Further, participatory research approaches in research involving mining-impacted hydrosocial systems should: (1) build from established programs, goals, and practices; (2) identify respectful levels of partnership engagement, and (3) recognize partnership limitations. Future inquiry in complex hydrosocial systems should continue to build from the existing collection of participatory scholarship to address power imbalances and cultural differences and implement non-intrusive approaches to evaluate outcomes. © 2020 The Author(s). Published by Informa UK Limited, trading as Taylor &amp; Francis Group.</t>
  </si>
  <si>
    <t>10.1080/02626667.2020.1808218</t>
  </si>
  <si>
    <t>hydrosocial territories; Indigenous Research Methodologies; mining-impacted regions; Participatory Action Research</t>
  </si>
  <si>
    <t>Idaho; United States; Capacity building; Cultural difference; Data accessibility; Non-intrusive approach; Participatory action research; Participatory research; Research methodologies; University partnership; accessibility; capacity building; data set; indigenous population; mining; participatory approach; research; Hydrology</t>
  </si>
  <si>
    <t>social media data mining of stakeholder value systems on community resilience in florida</t>
  </si>
  <si>
    <t>Ren H.; Zhang L.; Mohaimin Sadri A.; Emel Ganapati N.; Whetsell T.A.</t>
  </si>
  <si>
    <t>Building disaster-resilient communities requires a better understanding of what community stakeholders value regarding resilience. Communities with various characteristics (e.g., geographic, demographic, social vulnerabilities) are expected to prioritize resilience strategies to align with the value systems of their stakeholders. Stakeholder values include the aspects that are of importance, merit, and provide utilities to them, and stakeholders from different communities may hold values with varying degrees of importance, forming their distinct value systems. Despite the importance of involving stakeholders in resilience planning, there is limited awareness of stakeholder value systems with respect to resilience planning. To address this gap, this study focused on identifying stakeholder value systems and analyzing how the value systems vary across different communities (i.e., coastal vs. inland; metropolitan vs. non-metropolitan; more vs. less socially vulnerable). A semi-supervised learning technique - anchored correlation explanation (anchored CorEx) - was used to analyze the social media data (i.e., Twitter) collected within the Florida communities. The results demonstrate that communities with various characteristics have significantly different priorities regarding several stakeholder values. The findings of this study could inform policymakers to better plan for community resilience by aligning their strategies with stakeholder value systems, thereby increasing the effectiveness and efficiency of implementing resilience practices. © ASCE 2023.All rights reserved.</t>
  </si>
  <si>
    <t>10.1061/9780784485248.003</t>
  </si>
  <si>
    <t>Data mining; Disasters; Learning systems; Community resiliences; Florida; Geographics; Resilience strategy; Semi-supervised learning techniques; Social media data minings; Social media datum; Social vulnerability; Stakeholder values; Value systems; Social networking (online)</t>
  </si>
  <si>
    <t>Conference paper</t>
  </si>
  <si>
    <t>integrating the bruun rule with sediment compatibility analysis for shoreline change evaluation under water level fall</t>
  </si>
  <si>
    <t>Enayatighadikolaei H.; Suzuki T.; Mäll M.; Soltanpour M.</t>
  </si>
  <si>
    <t>Shoreline progradation in enclosed basins such as the Caspian Sea—driven by climate-induced hydrological change—poses unique challenges for coastal prediction, as most existing models were developed for water-level rise and open-coast dynamics. The original Bruun rule assumes a closed sediment budget and therefore tends to overpredict shoreline advance under falling water levels, overlooking the offshore loss of finer sediment fractions. To address this gap, the study introduces a new index, the Compatibility Index (CI), and integrates it into the Bruun rule, comparing six CI methods across six sandy and two sandy–gravel monitoring stations. While the Bruun rule was originally designed for sandy beaches, its applicability was extended here to mixed sand–gravel profiles. A practical decision framework—combining acceptable CI ranges from three prioritized methods and local bed slope—identifies an optimal CI (CIO) for each station. Shoreline change from 2013 to 2022 was tracked using cross-shore profiles and high-resolution satellite imagery. Incorporating the CIO into the Bruun rule reduced root mean square error from 61.3 m to 21.4 m, mean absolute error from 49.0 m to 16.6 m, and mean bias error from 49.0 m to 14.6 m, improving prediction accuracy by 73.2%. The resulting model delivers robust, site-specific shoreline forecasts and provides a practical tool for coastal managers planning setback zones or adaptation strategies in enclosed-basin environments, while offering a transferable framework for similar settings worldwide. © 2026 Elsevier B.V.</t>
  </si>
  <si>
    <t>10.1016/j.margeo.2025.107701</t>
  </si>
  <si>
    <t>Beach nourishment framework; Compatibility index; Enclosed-basin dynamics; Sediment budget adjustment; Shoreline advancement; Shoreline change prediction</t>
  </si>
  <si>
    <t>Caspian Sea; Beaches; Climate change; Climate models; Coastal zones; Errors; Forecasting; Gravel; Mining laws and regulations; Sand; Sediments; Shore protection; Water levels; Basin dynamics; Beach nourishment; Beach nourishment framework; Change prediction; Compatibility index; Enclosed-basin dynamic; Sediment budget adjustment; Sediment budgets; Shoreline advancement; Shoreline change; Shoreline change prediction; beach; local adaptation; progradation; satellite imagery; sediment budget; shoreline change; water level; Budget control; Mean square error</t>
  </si>
  <si>
    <t>risk perception in the nigua river basin: key determinants and policy implications</t>
  </si>
  <si>
    <t>Maldonado-Santana C.; Torres-Valle A.; Franco-Billini C.; Jauregui-Haza U.J.</t>
  </si>
  <si>
    <t>The Nigua River basin in the Dominican Republic is a critical hydrographic area facing significant environmental challenges, including deforestation, soil erosion and pollution from mining and agricultural activities. This study explores the role of risk perception among local residents in shaping policies for the basin’s sustainable management. The research aims to identify the factors influencing risk perception and propose actionable strategies to improve environmental governance in the region. A “perceived risk profile” methodology was applied, using survey data from 1223 basin residents. The analysis identified key variables that influence risk perception, including demographic factors such as education, gender, and place of residence. The findings reveal that risk underestimation correlates with low awareness of risks, uncertainty about the origins of disasters, fatalism toward natural events, and low trust in institutions. In contrast, risk over-estimation is linked to infrequent risk communication, heightened catastrophism and a strong emphasis on the benefits of environmental protection. The study also highlights significant regional differences in risk perception, with residents of the lower basin exhibiting higher perceptions of risk due to cumulative pollution and frequent disaster impacts. Based on these insights, the study recommends targeted strategies to bridge risk perception gaps, including tailored risk communication, community-based environmental education and stronger institutional trust-building initiatives, all aimed at fostering more effective and inclusive environmental governance in the Nigua basin. © 2024 by the authors.</t>
  </si>
  <si>
    <t>10.3390/w17010045</t>
  </si>
  <si>
    <t>basin; impact; objective risk; resilience; risk perception; sustainable development</t>
  </si>
  <si>
    <t>Dominican Republic; Hispaniola; Basin; Environmental governances; Impact; Key determinants; Key policies; Objective risk; Policy implications; Resilience; Risk communication; River basins; deforestation; environmental education; mining; policy implementation; research work; risk perception; soil erosion; sustainable development</t>
  </si>
  <si>
    <t>taking terrain literally: grounding local adaptation to corporate social responsibility in the extractive industries</t>
  </si>
  <si>
    <t>Dougherty M.L.; Olsen T.D.</t>
  </si>
  <si>
    <t>Since the early 1990s, the extractive industries have increasingly valued corporate social responsibility (CSR) in the communities where they operate. More recently, these industries have begun to recognize the importance of adapting CSR efforts to unique local contexts rather than applying a one-size-fits-all model. However, firms understand local context to mean culture and treat the physical properties of the host region-topography, geology, hydrology, and climate-as the exclusive purview of mineral geologists and engineers. In this article, we examine the organization of CSR at two industrial-scale gold mines in Guatemala, owned by the same firm, which yielded starkly distinct levels of support among host community residents. We develop the idea of social terrain to convey the way in which the biophysical environment informs local social relations and imbues phenomena with particular social meanings. We argue that firms must account for social terrain in organizing for CSR. The literature struggles to provide guidelines for identifying and understanding stakeholders. Social terrain, we argue, can begin to bridge this gap between theory and practice. © 2013 Springer Science+Business Media Dordrecht.</t>
  </si>
  <si>
    <t>10.1007/s10551-013-1643-0</t>
  </si>
  <si>
    <t>Business and society; Corporate social responsibility (CSR); Extractive industries; Gold mining; Guatemala; Materiality; Political CSR; Social terrain</t>
  </si>
  <si>
    <t>synthesis of small-scale mining community flood vulnerability and resilience strategy in ghana</t>
  </si>
  <si>
    <t>Bondinuba F.K.; Ayine P.K.; Mewomo C.M.</t>
  </si>
  <si>
    <t>The impacts of floods on communities can be devastating, leading to loss of property, displacement, and even the loss of lives. Despite efforts to address flood risks, the academic community’s understanding is still low. This paper synthesises the factors influencing flood vulnerability and the resilience strategies of three small-scale mining (SSM) communities in Ghana. The study employed interviews, document reviews and content analysis. The flood vulnerability factors include physical, social, economic, and environmental aspects. The effective coping strategies identified include participatory, community engagement, community-based disaster risk management, policy-level, and individual-level strategies. It can be concluded that illegal small-scale mining communities in Ghana are vulnerable to floods without any proactive measures to minimise the detrimental impact on the lives of the residents. Effective flood management programmes should be implemented in small-scale mining communities to increase their preparedness for the impact of floods. The study’s limitations include limited sample size, biased responses from respondents, and challenges in controlling the quality of the qualitative data. The paper provides insights into possible interventions to mitigate the impact of floods in small-scale mining communities. © The Author(s), under exclusive license to Springer Nature Switzerland AG 2025.</t>
  </si>
  <si>
    <t>10.1007/978-3-031-89195-3_21</t>
  </si>
  <si>
    <t>Data mining; Disasters; Floods; Risk management; Academic community; Document contents; Flood risks; Flood vulnerabilities; Impact of floods; Loss of life; Mining communities; Property; Resilience strategy; Small-scale mining; Flood control</t>
  </si>
  <si>
    <t>Book chapter</t>
  </si>
  <si>
    <t>urban flood drifters (ufd): identification, classification and characterisation</t>
  </si>
  <si>
    <t>Bayón A.; Valero D.; Franca M.J.</t>
  </si>
  <si>
    <t>Extreme floods threaten lives, assets and ecosystems, with the largest impacts occurring in urbanised areas. However, flood mitigation schemes generally neglect the fact that urban floods carry a considerable amount of solid load. In this study, we define urban flood drifters (UFDs) as loose objects present in the urban landscape that can become mobile under certain flow conditions, thereafter blocking drainage infrastructure and endangering both downstream and upstream communities. Based on 270 post-flood photographic records from 63 major inundations of the past quarter-century across 46 countries, we provide a comprehensive analysis of UFDs and their flood-hazard implications. We show that a variety of vehicles, furniture and a heterogeneous mixture of drifters are present in post-flooding scenarios. Plastic, construction debris and wood (natural or anthropogenic) dominate the statistics of transported drifters in urban floods (with frequencies of roughly 50%–60% each), followed by cars (present in 31.5% of post-flood images). Other heavy vehicles are readily observed in post-flood imagery and furniture such as bins, garden sheds or water tanks also appear occasionally, therefore suggesting that they can play a relevant role in extreme floods. © 2024 The Author(s). Journal of Flood Risk Management published by Chartered Institution of Water and Environmental Management and John Wiley &amp; Sons Ltd.</t>
  </si>
  <si>
    <t>10.1111/jfr3.13002</t>
  </si>
  <si>
    <t>blocking; data mining; drainage; dumpster; flood risk; infrastructure; plastic; vehicle; wood</t>
  </si>
  <si>
    <t>classification; data mining; drainage network; extreme event; flood damage; hazard assessment; infrastructure; plastic; wood</t>
  </si>
  <si>
    <t>indicators for the assessment of social resilience in flood-affected communities – a text mining-based methodology</t>
  </si>
  <si>
    <t>Jacinto R.; Reis E.; Ferrão J.</t>
  </si>
  <si>
    <t>This work turns the social resilience concept into a practical and tangible set of dimensions and indicators for social resilience assessment. It further provides an analysis of the social resilience concept in the context of flood risk governance. Floods are a worldwide recurring phenomenon that causes severe social, economic and environmental losses. In the context of global change, it is very difficult to accurately predict extreme events that may increase disaster frequency; hence the implementation of social resilience is essential to lessen the losses. Indeed, the right balance between natural and social factors and indicators is yet to be found. Social resilience has been debated extensively for decades, both in scientific and political contexts. It has been a concern in disaster risk reduction and risk governance fields, both of which have strived to implement it. The enlarged conceptual discussion regarding this topic has resulted in some indicator-based assessments that hardly reflect the conceptual discussion developed so far. These indicator-based approaches still lack accurate inclusion of social dynamics and the capacity to learn from experience. In order to contribute to a comprehensive approach (concept and methods) for assessing social resilience to floods, the evolutionary resilience concept (Davoudi, Simin; Shaw, Keith; Haider, L. Jamila; Quilnlan, Allyson E; Petterson, Garry D.; Wilkinson, Cathy; Fünfgeld, Hartmut; McEvoy, Darryn; Porter, 2012) was considered as a reference in this work, as it can include dimensions that are difficult to evaluate (non-static time and learning-capacity in multi-dimensional systems). This work addresses the challenge of a conceptual overview of social resilience to include key factors and indicators. Our methodology uses text mining, experts' surveys and bibliography reviews to generate an indicators database. The contribution of this article to the scientific debate on social resilience assessment is twofold. First, the key-concepts, words and expressions in this field are identified, which provides the basis to build a comprehensive and coherent analytical framework. Secondly, an original indicators database is proposed in line with that framework. The results of a text mining-based methodology and an online survey, involving experts from different countries, show that four of the six dimensions of the indicators database refer to social aspects of risks (Individuals, Society, Governance, and Built Environment), while the remaining two refer to the Environment and Disaster. The results obtained so far suggest the need for a next step aiming to validate the dimensions and the indicators of this database through its application to real case studies. © 2020 Elsevier B.V.</t>
  </si>
  <si>
    <t>Experts' opinions; Floods; Resilience indicators; Social resilience; Text mining</t>
  </si>
  <si>
    <t>Data Mining; Disasters; Floods; Humans; Surveys and Questionnaires; Database systems; Disasters; Floods; Risk assessment; Social aspects; Surveys; Built environment; Disaster risk reductions; ITS applications; Learning capacity; Multidimensional systems; Political context; Risk governance; Social dynamics; accuracy assessment; analytical framework; conceptual framework; database; disaster management; flood damage; flooding; governance approach; risk assessment; social impact assessment; adult; article; built environment; disaster; flooding; global change; human; learning; mining; risk reduction; social aspect; data mining; disaster; questionnaire; Text mining</t>
  </si>
  <si>
    <t>youtube as a crowd-generated water level archive</t>
  </si>
  <si>
    <t>Michelsen N.; Dirks H.; Schulz S.; Kempe S.; Al-Saud M.; Schüth C.</t>
  </si>
  <si>
    <t>In view of the substantial costs associated with classic monitoring networks, participatory data collection methods can be deemed a promising option to obtain complementary data. An emerging trend in this field is social media mining, i.e., harvesting of pre-existing, crowd-generated data from social media. Although this approach is participatory in a broader sense, the users are mostly not aware of their participation in research.Inspired by this novel development, we demonstrate in this study that it is possible to derive a water level time series from the analysis of multiple YouTube videos. As an example, we studied the recent water level rise in Dahl Hith, a Saudi Arabian cave. To do so, we screened 16 YouTube videos of the cave for suitable reference points (e.g., cave graffiti). Then, we visually estimated the distances between these points and the water level and traced their changes over time. To bridge YouTube hiatuses, we considered own photos taken during two site visits. For the time period 2013-2014, we estimate a rise of 9.5 m. The fact that this rise occurred at a somewhat constant rate of roughly 0.4 m per month points towards a new and permanent water source, possibly two nearby lakes formed from treated sewage effluent. An anomaly in the rising rate is noted for autumn 2013 (1.3 m per month). As this increased pace coincides with a cluster of rain events, we deem rapid groundwater recharge along preferential flow paths a likely cause. Despite the sacrifice in precision, we believe that YouTube harvesting may represent a viable option to gather historical water levels in data-scarce settings and that it could be adapted to other environments (e.g., flood extents). In certain areas, it might provide an additional tool for the monitoring toolbox, thereby possibly delivering hydrological data for water resources management. © 2016 Elsevier B.V.</t>
  </si>
  <si>
    <t>10.1016/j.scitotenv.2016.05.211</t>
  </si>
  <si>
    <t>Citizen science; Crowdsourcing; Dahl Hith; Participatory; Saudi Arabia; Social media mining</t>
  </si>
  <si>
    <t>Saudi Arabia; Caves; Crowdsourcing; Groundwater; Groundwater flow; Information management; Sewage; Social networking (online); Time series analysis; Water levels; Water resources; ground water; rain; Citizen science; Dahl Hith; Participatory; Saudi Arabia; Social media minings; cave; data mining; participatory approach; social media; videography; water level; Article; data mining; flooding; lake; priority journal; Saudi Arabia; sewage effluent; social media; time series analysis; water level; water management; Effluents</t>
  </si>
  <si>
    <t>gis-based evaluation of mining-induced water-related hazards in pakistan and integrated risk mitigation strategies</t>
  </si>
  <si>
    <t>Li J.; Tan Z.; Siddique A.; Ahmad H.; Rashid W.; Liu J.; Yang Y.</t>
  </si>
  <si>
    <t>Mining activities in Pakistan’s mineral-rich provinces threaten freshwater security through groundwater depletion, contamination, and flood-induced pollution. This study develops an Inclusive Disaster Risk Reduction (IDRR) framework integrating governance, social, environmental, and technical (GSET) dimensions to holistically assess mining-induced water hazards across Balochistan, Khyber Pakhtunkhwa, and Punjab. Using GIS-based spatial risk mapping with multi-layer hydrological modeling, we combine computational analysis and participatory validation to identify vulnerability hotspots and prioritize high-risk mines. Community workshops involving women water collectors, indigenous leaders, and local experts enhanced map accuracy by translating indigenous knowledge into spatially referenced mitigation plans and integrating gender-sensitive metrics to address gendered water access disparities. Key findings reveal severe groundwater depletion, acid mine drainage, and gendered burdens near Saindak and Cherat mines. Multi-sectoral engagements secured corporate commitments for water stewardship and policy advances in inclusive governance. The framework employs four priority-ranked risk categories (Governance-Economic 15%, Social-Community 30%, Environmental 40%, Technical-Geological 15%) derived via local stakeholder collaboration, enabling context-specific interventions. Despite data limitations, the GIS-driven methodology provides a scalable model for regions facing socio-environmental vulnerabilities. The results demonstrate how community participation directly shaped village-level water management alongside GSET analysis to craft equitable risk reduction strategies. Spatially explicit risk maps guided infrastructure upgrades and zoning regulations, advancing SDG 6 and 13 progress in Pakistan. This work underscores the value of inclusive, weighted frameworks for sustainable mining–water nexus management in Pakistan and analogous contexts. © 2025 by the authors.</t>
  </si>
  <si>
    <t>10.3390/w17131914</t>
  </si>
  <si>
    <t>community-based approaches; GIS-based spatial risk mapping; inclusive disaster risk reduction (IDRR); local governance; water resource vulnerability; water-related hazards</t>
  </si>
  <si>
    <t>Baluchistan; Khyber; Pakistan; Punjab [Pakistan]; Tribal Areas; Disasters; Geographic information systems; Groundwater; Hazards; Mapping; Maps; Public policy; Risk analysis; Risk assessment; Water conservation; Water resources; Zoning; Community based approach; Disaster risk reductions; GIS-based spatial risk mapping; Inclusive disaster risk reduction; Local governance; Pakistan; Risk mappings; Water resource vulnerability; Water-related hazard; Waters resources; GIS; governance approach; indigenous knowledge; infrastructure; local participation; mapping; mining; mitigation; natural hazard; risk assessment; stakeholder; vulnerability; water management; water resource; Groundwater pollution</t>
  </si>
  <si>
    <t>changes in wetland habitat use by waterbirds wintering in czechia are related to diet and distribution changes</t>
  </si>
  <si>
    <t>Musilová Z.; Musil P.; Zouhar J.; Šenkýřová A.; Pavón-Jordán D.; Nummi P.</t>
  </si>
  <si>
    <t>Understanding species habitat use and factors affecting changes in their distributions are necessary to promote the conservation of any biological community. We evaluated the changes in wetland use of the non-breeding waterbird community. Based on long-term citizen-science data (1988–2020), we tested the hypotheses that wetland use is associated with species diet and potential range-shift drivers (the tendency to occupy the same sites in consecutive years—site affinity—and the species' average temperature across its wintering range—species temperature index). We analysed species-specific wetland use of 25 species of waterbirds wintering in Czechia over a period of 33 years. The analyses explained variability in trends in numbers of the studied waterbird species across four inland wetland types: reservoirs; fishponds; industrial waters created by flooding of former mining sites; and running waters. Trends in waterbird abundance positively correlated with species’ diet on fishponds, industrial and running waters. Among the diet groups, invertivores showed the largest increase in abundances on industrial waters, closely followed by herbivores. Herbivores showed the largest increase in abundances in fishponds, and piscivores did so in running waters. Regarding range-shift drivers, species with higher site affinity showed higher abundances on running waters, while species with low species temperature index (i.e. wintering on average in sites with lower temperature) were more abundant on reservoirs. The abundance of both warm-dwelling and species with low site affinity increased on fishponds and industrial waters. Our findings suggest that the increased importance of the wetland types considered here for wintering waterbirds is likely to be linked to diet related changes in habitat use and changes in species distributions; and highlight that wintering waterbirds are expected to select sites with higher availability of food, higher energy content, and lower foraging cost. Recent and rapid changes in species distributions may lead to a decrease in the effectiveness of national and international conservation efforts. When planning conservation measures, it should be kept in mind that climate change does not only imply large-scale north/north-eastwards shifts of entire waterbird distributions, but can also modify the use of the habitats by waterbird species inside their traditional wintering range. © 2021 John Wiley &amp; Sons Ltd.</t>
  </si>
  <si>
    <t>10.1111/fwb.13842</t>
  </si>
  <si>
    <t>how central water management impacts local livelihoods: an ethnographic case study of mining water extraction in tarapacá, chile</t>
  </si>
  <si>
    <t>Cornejo P. S.M.; Niewöhner J.</t>
  </si>
  <si>
    <t>Chile’s neoliberal central water management gives shape to a series of conflicts arising from diverse understandings and ways of life linked to water. This article addresses the question of who is responsible for the ecological costs regarding water use of mining activity in the north of Chile. From the perspective of hydro-social territories, we analyze how the local population in Tarapacá is acting on unequal footing regarding environmental information and knowledge. Local and practical experiences are devalued against technical and scientific modeling, supported by legal and political definitions of “the environment” and “water”. Focusing on diverse local narratives, we show how the local population feels threatened by the environmental impacts of mining activity but struggles to find legitimate ways of articulating those anxieties to gain a sense of agency. We conclude that the local ecological consequences of extractivism in this region can only be understood in the context of the wider legal and economic framework regulating the appropriation of water as a resource and that long-term efforts in more participatory sociohydrological modeling might help to broaden the knowledge base for contested decision-making. © 2021 by the authors. Licensee MDPI, Basel, Switzerland.</t>
  </si>
  <si>
    <t>10.3390/w13243542</t>
  </si>
  <si>
    <t>Atacama Desert; Chilean water code; Environmental conflicts; Hydro-social territories; Hydrological modeling; Local knowledge; Neoliberalism</t>
  </si>
  <si>
    <t>Chile; Codes (symbols); Decision making; Environmental impact; Environmental regulations; Knowledge based systems; Atacama Desert; Chilean water code; Environmental conflict; Hydro-social territory; Hydrological models; Local knowledge; Local populations; Mining activities; Neoliberalism; Waters managements; decision making; environmental impact; ethnography; extraction method; footing; hydrological modeling; livelihood; participatory approach; territory; water management; Water management</t>
  </si>
  <si>
    <t>climate change and rainfall extremes in africa</t>
  </si>
  <si>
    <t>Ongoma V.</t>
  </si>
  <si>
    <t>Climate Change and Rainfall Extremes in Africa: Occurrence, Impacts and Adaptation provides the latest developments on extreme rainfall in Africa, along with an analysis of current impacts, future implications, and community adaptations. The book's chapters are organized into three parts: 1) Understanding Rainfall Extremes, 2) Regional Rainfall and Hydrological Extremes, and 3) Prediction, Impacts, and Adaptation to Rainfall Extremes. Specific sections examine rainfall variability in Africa (and across the world), how climate change has contributed to the increasing severity of events, focus on different regions and various meteorological extremes, including tropical cyclones, drought, flooding, rising water levels, and changes in rainfall concentration. Final sections look ahead to the future of forecasting rainfall, economic implications, damage assessment, adaptation, community resilience, and risk reduction measures. This timely resource will deepen readers' understanding of how climate change and extreme rainfall in Africa (and elsewhere) are impacting communities and what can be done to mitigate the effects. © 2025 Elsevier Inc. All rights are reserved, including those for text and data mining, AI training, and similar technologies.</t>
  </si>
  <si>
    <t>10.1016/C2023-0-50741-4</t>
  </si>
  <si>
    <t>Climate change; Data mining; Extreme weather; Rain; Risk assessment; Tropical cyclone; 'current; Extreme rainfall; Floodings; Hydrological extremes; Impacts and adaptation; Latest development; Meteorological extremes; Rainfall extremes; Rainfall variability; Tropical cyclone; Damage detection</t>
  </si>
  <si>
    <t>Book</t>
  </si>
  <si>
    <t>assessment of local community perceptions of biodiversity conservation in the 3s rivers of cambodia: using a knowledge, attitudes, and practices (kap) approach</t>
  </si>
  <si>
    <t>Sophat S.; Chandara P.; Claassen A.H.</t>
  </si>
  <si>
    <t>The Sekong, Sesan, and Srepok (3S) Rivers in Southeast Asia provide critical habitat for wildlife and support many threatened species. The Sesan and Sekong Rivers are regarded as Important Bird Areas, which recognizes their exceptional avian diversity and critical role in supporting waterbird populations. Additionally, these rivers provide diverse natural resources and ecosystem services that support the livelihoods of millions of people of riparian countries. However, the 3S Rivers are under severe threat from hydropower development, habitat destruction, economic land concessions, extractive industries, and illegal logging. In response to these threats, a community-based conservation program was implemented for waterbirds that utilized direct payments to communities for bird nest protection. Community participation is key to effective biodiversity conservation. However, few studies have assessed local perceptions of community-based conservation programs. Therefore, we conducted a knowledge, attitudes, and practices survey of selected communities along the 3S Rivers to understand community perceptions about the nest protection program. According to the local communities, waterbird populations increased and threats decreased as a result of the program. Overall, communities had positive impressions of the program and believed the program provided them with significant livelihood benefits. The results of this research will be used as educational and diagnostic tools to assess the effectiveness of the conservation program to meet community needs and to be able to improve this and other such community-based programs in the future. © 2019, Springer International Publishing AG, part of Springer Nature.</t>
  </si>
  <si>
    <t>10.1007/978-3-319-90400-9_12</t>
  </si>
  <si>
    <t>3S rivers; Biodiversity conservation; KAP survey; Payments for ecosystem services</t>
  </si>
  <si>
    <t>addressing the wicked problem of systemic disaster risk in the anthropocene</t>
  </si>
  <si>
    <t>Fien J.; Charlesworth E.</t>
  </si>
  <si>
    <t>The Anthropocene is characterised by the interconnected problems of economic disruption, urban decay, inequality, political inertia, land degradation, and climate change. Together, these constitute a polycrisis, which is multiplying the impacts of hazard risks and increasing the potential for disasters. However, many communities fail to recognise these interconnections and are largely unprepared when disasters strike, or do not appreciate that the heaviest burdens of disasters mostly fall on poor and vulnerable people who have limited resources to cope. Too often, engineering works, such as stream straightening, levee banks, and sea walls against floods and sea-level rise, are seen as the solution. While these can mitigate immediate impacts, they fail to address the root causes of a disaster, which reside not in the environmental hazard per se but in the socio-economic and political drivers of vulnerability. Thus, it is often said that disasters are a function of ‘systemic risks’ that create wicked problems. This chapter begins by outlining the complex nature of systems and systemic risks in the Anthropocene and how these are leading to increasing compound disasters and cascading impacts that reverberate through systems. This means that disaster mitigation and recovery need to be treated as wicked problems. The chapter explains the characteristics that make disaster risk management wicked and the challenges of seeking resolutions to them. Nevertheless, a range of strategies for addressing these challenges is emerging, including appreciative enquiry, community-based adaptation, strategic foresight, and systemic design. The chapter concludes by outlining the principles shared by these strategies and illustrates these with the example of the steps involved in systemic design as a meta-approach to addressing the wicked problem of disaster risk in the Anthropocene. © CAB International 2025. All rights, including for text and data mining, AI training, and similar technologies, are reserved.</t>
  </si>
  <si>
    <t>10.1079/9781800624153.0004</t>
  </si>
  <si>
    <t>Climate change; Data mining; Disasters; Economics; Hazards; Risk management; Anthropocene; Engineering works; Hazard risks; Land degradation; Root cause; Sea level rise; Sea-walls; Systemic designs; Systemic risks; Wicked problems; Sea level</t>
  </si>
  <si>
    <t>txt-tool 4.066-1.1 community-based landslide risk management approaches</t>
  </si>
  <si>
    <t>In recent times landslides and mass movements have become widespread events, posing great problems and serious challenges to development, especially in mountainous areas of developing nations in Asia. Landslides have increased both in frequency and intensity and have assumed catastrophic and disastrous proportions in a number of countries, causing extensive damage to life and property. Mass movements occur as a result of heavy precipitation or as a secondary hazard triggered by geological events such as earthquakes or volcanic eruptions. In addition to those triggering factors, increases in landslide occurrence have been associated with a combination of factors, including geology, topography, morphometry, climate, and human activities that directly or indirectly contribute to the phenomena of slope instability. Landslides are often triggered in areas with a past history of landslides and reducing the risk due to landslides using community-based approaches is considered as an effective measure for reducing the damage from landslides. In most areas, development activities seem to be responsible for new landslides, as well as reactivation of dormant landslides. The community members are the first responders to any disaster event at local level. Therefore they should understand the signs of impending landslides or slope destabilization, and have knowledge of potential high hazard areas, and ways of avoiding exposure. It is also appropriate to develop hazard maps for landslide-prone areas using community-based risk assessment tools and undertake preparedness planning with affected communities. They also should be warned in time through constant monitoring, and early warning of potential reactivation. In addition, slow-moving slides on hill slopes need constant monitoring, as many developing countries in Asia cannot afford to undertake mitigation measures or to resettle people to safer areas after identification of the potential threat. Hence the purpose of this training session is to create awareness of possible community-based interventions so that local government level officials will be able to build the capacity of the local or community-level stakeholders on landslide-related issues and involve them actively in landslide risk management activities. In the same way, many landslides are triggered by inappropriate practices in construction on hill slopes, land uses such as agriculture, excavations, and mining practices. Communities living in areas with a history of landslides should understand the factors causing the landslides and mitigation measures that can be undertaken to minimize losses. This session deals with community-based interventions such as hazard, vulnerability and risk mapping, preparedness planning, mitigation interventions and community-level training to improve first responder capacity for early warning evacuation and undertaking preparedness measures at a community level. © Springer International Publishing AG 2018. All rights are reserved.</t>
  </si>
  <si>
    <t>10.1007/978-3-319-57777-7_39</t>
  </si>
  <si>
    <t>Community level early warning community first responders; Participatory risk assessment; Risk-resource-evacuation mapping</t>
  </si>
  <si>
    <t>Developing countries; Geology; Hazards; Land use; Mapping; Personnel training; Risk assessment; Risk management; Volcanoes; Community based approach; Development activity; First responders; Heavy precipitation; Landslide risk managements; Landslide-prone areas; Mitigation measures; Risk assessment tool; Landslides</t>
  </si>
  <si>
    <t>sustainability study of community disaster resilience evolution trends based on dissipative structure theory</t>
  </si>
  <si>
    <t>Liang W.; Xue Y.</t>
  </si>
  <si>
    <t>The assessment and improvement of community disaster resilience are crucial for sustainable community development. This study explores the assessment and evolutionary trends of community disaster resilience using the PSR model, supported by fuzzy data mining methods. The evolution mechanism of community resilience is analyzed based on dissipative structure theory, and a dynamic evolutionary model is constructed using the Brusselator framework. The model is applied to 130 communities in Taiyuan City, providing insights into their spatiotemporal characteristics and identifying key factors driving the sustained upward trends in disaster resilience, especially under increased disaster risk pressures. The findings reveal a close relationship between resilience trends and the balance between pressure and response. When these factors are imbalanced, resilience stagnates or worsens; when coordinated, resilience improves. The key capacities that influence resilience sustainability are adaptive, learnable, and have regional spatiotemporal impacts. This study contributes by integrating multiple models and algorithms to assess community resilience, proposing a dynamic evolutionary model, and validating its feasibility through case studies. The findings offer valuable guidance for decision-makers and researchers, enhancing the understanding of resilience evolution and promoting sustainable community development. © 2024 The Authors.</t>
  </si>
  <si>
    <t>10.1109/ACCESS.2024.3479096</t>
  </si>
  <si>
    <t>brusselsator model; Community disaster resilience; dissipative structure theory; PSR; sustainability</t>
  </si>
  <si>
    <t>Sustainable development goals; Assessment and improvement; Brusselsator model; Community disaster resilience; Community resiliences; Disaster resiliences; Dissipative structure theories; Evolution trend; Evolutionary models; PSR; Sustainable community development; Sustainable city</t>
  </si>
  <si>
    <t>failed development in global networks, exemplified by extractive industries in bolivia and ghana</t>
  </si>
  <si>
    <t>Scholvin S.</t>
  </si>
  <si>
    <t>For the World Bank, integration into the global economy is the path towards development. Its experts argue that the Global South will benefit from easing barriers to investment and trade, thus facilitating interaction between transnational corporations and local enterprises. Yet, there is growing scepticism regarding the prospects to develop in global networks. This article delves into their dark side. Following critical scholarship, the author suggests that integration into global networks is a process that creates winners and losers. It leads to uneven development. To analyse concrete mechanisms that underlie the process of failed development, he drafts a heuristic on exclusion, downgrading, and non-participation from/in global networks. This approach is tested against the backdrop of the hydrocarbon sector in Bolivia and Ghana. In Bolivia, indigenous suppliers suffer from downgrading, exclusion, and non-participation because of a recent shift to a turn-key model and sector-specific entry barriers. Ghana is marked by non-participation of local firms, mostly due to endogenous problems: corruption and institutional deficiencies, little industrialization, a high interest rate, and rent-seeking. These findings confirm that caution with regard to the possibilities to develop in global networks is justified, but they also indicate that not every development problem results from global network participation. © 2021 Swedish Society for Anthropology and Geography.</t>
  </si>
  <si>
    <t>10.1080/04353684.2021.1991237</t>
  </si>
  <si>
    <t>Bolivia; dark side; disarticulation; Ghana; global production network; resource periphery</t>
  </si>
  <si>
    <t>Bolivia; Ghana; extraction; global economy; participatory approach; uneven development</t>
  </si>
  <si>
    <t>solastalgia: the distress caused by environmental change</t>
  </si>
  <si>
    <t>Albrecht G.; Sartore G.-M.; Connor L.; Higginbotham N.; Freeman S.; Kelly B.; Stain H.; Tonna A.; Pollard G.</t>
  </si>
  <si>
    <t>Objective: Solastalgia is a new concept developed to give greater meaning and clarity to environmentally induced distress. As opposed to nostalgia - the melancholia or homesickness experienced by individuals when separated from a loved home - solastalgia is the distress that is produced by environmental change impacting on people while they are directly connected to their home environment. The paper will focus on two contexts where collaborative research teams have found solastalgia to be evident: the experiences of persistent drought in rural NSW and the impact of large-scale open-cut coal mining on individuals in the Upper Hunter Valley of NSW. In both cases, people exposed to environmental change experienced negative affect that is exacerbated by a sense of powerlessness or lack of control over the unfolding change process. Methods: Qualitative (interviews and focus groups) and quantitative (community-based surveys) research has been conducted on the lived experience of drought and mining, and the findings relevant to solastalgia are presented. Results: The authors are exploring the potential uses and applications of the concept of solastalgia for understanding the psychological impact of the increasing incidence of environmental change worldwide. Conclusions: Worldwide, there is an increase in ecosystem distress syndromes matched by a corresponding increase in human distress syndromes. The specific role played by global-scale environmental challenges to 'sense of place' and identity will be explored in the future development of the concept of solastalgia.</t>
  </si>
  <si>
    <t>10.1080/10398560701701288</t>
  </si>
  <si>
    <t>Coal mining; Distress; Drought; Psychoterratic; Solastalgia</t>
  </si>
  <si>
    <t>Environment; Environmental Pollution; Focus Groups; Health Surveys; Humans; Internal-External Control; Mental Disorders; Mining; Natural Disasters; New South Wales; Rural Population; Stress, Psychological; Syndrome; article; Australia; coal mining; distress syndrome; drought; environmental change; environmental exposure; environmental impact; environmental stress; home environment; human; powerlessness; psychological aspect; qualitative research; quantitative study; solastalgia</t>
  </si>
  <si>
    <t>genetic associations with micronutrient levels identified in immune and gastrointestinal networks</t>
  </si>
  <si>
    <t>Morine M.J.; Monteiro J.P.; Wise C.; Teitel C.; Pence L.; Williams A.; Ning B.; McCabe-Sellers B.; Champagne C.; Turner J.; Shelby B.; Bogle M.; Beger R.D.; Priami C.; Kaput J.</t>
  </si>
  <si>
    <t>The discovery of vitamins and clarification of their role in preventing frank essential nutrient deficiencies occurred in the early 1900s. Much vitamin research has understandably focused on public health and the effects of single nutrients to alleviate acute conditions. The physiological processes for maintaining health, however, are complex systems that depend upon interactions between multiple nutrients, environmental factors, and genetic makeup. To analyze the relationship between these factors and nutritional health, data were obtained from an observational, community-based participatory research program of children and teens (age 6-14) enrolled in a summer day camp in the Delta region of Arkansas. Assessments of erythrocyte S-adenosylmethionine (SAM) and S-adenosylhomocysteine (SAH), plasma homocysteine (Hcy) and 6 organic micronutrients (retinol, 25-hydroxy vitamin D3, pyridoxal, thiamin, riboflavin, and vitamin E), and 1,129 plasma proteins were performed at 3 time points in each of 2 years. Genetic makeup was analyzed with 1 M SNP genotyping arrays, and nutrient status was assessed with 24-h dietary intake questionnaires. A pattern of metabolites (met-PC1) that included the ratio of erythrocyte SAM/SAH, Hcy, and 5 vitamins were identified by principal component analysis. Met-PC1 levels were significantly associated with (1) single-nucleotide polymorphisms, (2) levels of plasma proteins, and (3) multilocus genotypes coding for gastrointestinal and immune functions, as identified in a global network of metabolic/protein-protein interactions. Subsequent mining of data from curated pathway, network, and genome-wide association studies identified genetic and functional relationships that may be explained by gene-nutrient interactions. The systems nutrition strategy described here has thus associated a multivariate metabolite pattern in blood with genes involved in immune and gastrointestinal functions. © 2014 The Author(s).</t>
  </si>
  <si>
    <t>10.1007/s12263-014-0408-4</t>
  </si>
  <si>
    <t>Community-based participatory research; Genetic analysis; Network analysis; Systems nutrition</t>
  </si>
  <si>
    <t>environmental exposures and pulmonary function among adult residents of rural appalachian kentucky</t>
  </si>
  <si>
    <t>Flunker J.C.; Sanderson W.T.; Christian W.J.; Mannino D.M.; Browning S.R.</t>
  </si>
  <si>
    <t>Background: Estimated residential exposures of adults to roadway density and several metrics of resource extraction, including coal mining and oil and gas drilling, were hypothesized to contribute to the prevalence of respiratory disease in rural Appalachia. Objective: Determine how small-area geographic variation in residential environmental exposures impacts measures of pulmonary function among adults in a community-based study. Methods: We examined associations between residential environmental respiratory exposures and pulmonary function among 827 adult participants of the “The Mountain Air Project”, a community-based, cross-sectional study in Southeastern Kentucky during 2016–2018. Exposures characterized the density of roadways, oil/gas wells, or current/past surface and underground coal mining at the level of 14-digit hydrologic unit code (HUC), or valley “hollow” where participants resided. Each participant completed an in-person interview to obtain extensive background data on risk factors, health history, and occupational and environmental exposures, as well as a spirometry test administered by experienced study staff at their place of residence. Multivariable linear regression was used to model the adjusted association between each environmental exposure and percent predicted forced expiratory volume in one second (FEV1PP) and forced vital capacity (FVCPP). Results: Adjusted regression models indicate persons living in HUCs with the highest level of roadway density experienced a reduction in both FEV1PP (−4.3: 95% CI: −7.44 −1.15;) and FVCPP (−3.8: 95% CI: −6.38, −1.21) versus persons in HUCs with the lowest roadway density. No associations were detected between the metrics associated with mining and oil and gas operations and individual pulmonary function. Impact statement: Our work demonstrates the potential adverse impact of roadway-related exposures on the respiratory health of rural Appalachia residents. We employed a novel method of small-area exposure classification based on the hydrologic unit code (HUC), representing potential exposure levels per hollow occurring in proximity to the residence, and controlled for individual-level risk factors for reduced respiratory health. We highlight an overlooked yet ubiquitous source of residential exposure from motor vehicles that may contribute to the regionally high prevalence of respiratory disease in rural Appalachia. © The Author(s), under exclusive licence to Springer Nature America, Inc. 2023.</t>
  </si>
  <si>
    <t>10.1038/s41370-023-00584-4</t>
  </si>
  <si>
    <t>Hydrologic unit code; Pulmonary function; Resource extraction; Respiratory; Roadway exposure</t>
  </si>
  <si>
    <t>Adult; Aged; Air Pollutants; Appalachian Region; Coal Mining; Cross-Sectional Studies; Environmental Exposure; Female; Forced Expiratory Volume; Humans; Kentucky; Lung; Male; Middle Aged; Oil and Gas Fields; Prevalence; Respiratory Function Tests; Risk Factors; Rural Population; Spirometry; Vital Capacity; adult; adverse event; aged; air pollutant; coal mining; cross-sectional study; environmental exposure; epidemiology; female; forced expiratory volume; human; Kentucky; lung; lung function test; male; middle aged; oil and gas field; pathophysiology; prevalence; risk factor; rural population; spirometry; United States; vital capacity</t>
  </si>
  <si>
    <t>resilience as property value rebound: analysis of expanded datasets from hurricanes ike and irma</t>
  </si>
  <si>
    <t>Laun A.; Mazzuchi T.; Sarkani S.; Tomiczek T.</t>
  </si>
  <si>
    <t>For residential structures in America's coastal communities, resilience is an essential system quality. Such resilience is best conceptualized as a given system's ability to anticipate, respond to, recover from, and adapt to disruption. Practically, the quantification of parcel-scale resilience requires detailed temporal data and the ability to assess various indicators of system performance variability. This paper considers expanded datasets related to wave and storm surge damage for two catastrophic disruptions: Hurricane Ike in Galveston County, Texas, and Hurricane Irma in Monroe County, Florida. Data mining suggests that appraised property values for single-family residences may be used to characterize a given parcel's post-disruption economic response and rebound behavior. Such rebound varies, and the authors offer four potential indicators of such variability for future study: the severity of the initial disruption, a parcel's location, a parcel's construction, and a given property's flood insurance coverage. In general, following a hurricane, recorded property values appear to serve as another feasible measure of a given disaster-affected system's resilient performance. Ultimately, these findings not only offer another mechanism by which community leaders can effectively manage resilience but also suggest that FEMA must continue to improve the National Flood Insurance Program. © 2023 American Society of Civil Engineers.</t>
  </si>
  <si>
    <t>10.1061/NHREFO.NHENG-1392</t>
  </si>
  <si>
    <t>Florida [United States]; Galveston County; Monroe County [Florida]; Texas; Texas; United States; Data mining; Disasters; Floods; Insurance; Coastal communities; Community resiliences; Hurricane Ike; Performance variability; Property value; Residential structures; Storm surges; System quality; Systems performance; Temporal Data; catastrophic event; flood damage; hurricane; spatiotemporal analysis; storm surge; Hurricanes</t>
  </si>
  <si>
    <t>native involvement in strategic assessment of natural resource development: the example of the crees living in the canadian taiga</t>
  </si>
  <si>
    <t>Lajoie G.; Bouchard M.A.</t>
  </si>
  <si>
    <t>The James Bay Agreement reinforces the rights of the Crees to 500,000 km2 of territory in the boreal forest and taiga of northern Quebec. In it, consultation and environmental assessment (EA) mechanisms were set up to ensure the Crees' direct involvement in environmental decisions. This paper addresses three matters: the influence of Native involvement in the EA process; updating the EA process under the Agreement to incorporate the apparently new tools of strategic environmental assessments (SEAs); and adaptation of the concept of SEA to the Native context. Our analysis focuses on the experience gained from large hydroelectric development projects, recent and planned mining developments, and forestry operations. © IAIA 2006.</t>
  </si>
  <si>
    <t>10.3152/147154606781765174</t>
  </si>
  <si>
    <t>Boreal forest; Canada; Cree First Nations; Forestry; Hydroelectricity; Lessons learned; Mining; Northern Quebec; Public participation; Strategic environmental assessment (SEA)</t>
  </si>
  <si>
    <t>Canada; North America; Quebec [Canada]; boreal forest; environmental assessment; forestry; natural resource; participatory approach; resource development; strategic approach</t>
  </si>
  <si>
    <t>32nd international conference on information system 2011, icis 2011, volume 3</t>
  </si>
  <si>
    <t>The proceedings contain 299 papers. The special focus in this conference is on Information System. The topics include: Situation awareness through social collaboration platforms in distributed work environments; attaining and enacting green leadership; culture and organizational computer-mediated communication; inter-organizational effects on sociomaterial imbrications and change; intrusiveness of online video advertising and its effects on marketing outcomes; dynamic personal feedback in acquiring information to manage your health; emotions as predictors of performance in virtual worlds; a profiling model for readmission of patients with congestive heart failure; information sharing in NHS polyclinics; integrating self-service kiosks into healthcare delivery organizations; an empirical study with strategic alignment in the healthcare industry; improving knowledge-intensive health care processes beyond efficiency; understanding the drivers and outcomes of healthcare organizational privacy responses; IT-based capabilities, service innovation, and quality in health care; microprocesses of healthcare technology implementation under competing institutional logics; understanding the impact of internet media on patient-clinician trust; measuring emotions in electronic markets; social networking and extending social capacity; an entropy index for multitasking behavior; an instrument for measuring SOA maturity; computer-mediated social networks and environmental behavior; an effective and efficient subpopulation extraction method in very large social networks; reputation and preemption strategies in competing technology networks; software adoption under network effects; consumer product consideration and choice at purchase time at online retailers; business values of community source; learning from peers on social media platforms; code architecture and open source software development; the price and quantity of IT-related intangible capital; the impact of third-party information on the dynamics of online word-of-mouth and retail sales; the roles of agency and artifacts in assembling open data complementarities; the role of culture and personality in the leadership process in virtual teams; user satisfaction of E-government procurement systems in developing countries; differences in knowledge seeking ties between the US and Singapore students; modeling quality dynamics in IT services management; herding behavior as a network externality; exploring information systems control alignment in organizations; the user-centered nature of awareness creation in computer-mediated communication; critical factors affecting compliance to campus alerts; substance and influence in brand communities; the attitude construct in IT adoption research - a scientometric analysis; examining trends of technology diffusion theories in information systems; management of change to ensure IS success; information systems development as a social process; testing tournament selection in creative problem solving using crowds; understanding online payment method choice; the influence of demands and resources on emotional exhaustion with the information systems profession; CIO survival and the composition of the top management team; social capital in the ICT sector - a network perspective on executive turnover and startup performance; activity awareness as a means to promote connectedness, willingness to do additional work, and congeniality; effects of media synchronicity on communication performance; comprehension of online consumer-generated product review; the role of product recommendation agents in collaborative online shopping; three classes of attitude and their implications for IS research; gender differences in virtual collaboration on a creative design task; toward deep understanding of persuasive product recommendation agents; understanding is education quality in developing countries; SYSCO's best business practices (BBP); public expenditure management through khajane - an integrated financial MIS; arguments for the adoption of a heuristic approach to IS research; information systems collaborations as boundary spanning; towards an evidence-based research approach in information systems; grounding theory from Delphi studies; PLS marker variable approach to diagnosing and controlling for method variance; benefits from using continuous rating scales in online survey research; evaluating two automatic methods for classifying information technology concepts; exploring interpersonal relationships in security information sharing; explaining the difference between how security cues and security arguments improve secure behavior; the impact of security practices on regulatory compliance and security performance; personal health records in cloud computing environments; empirical analysis of data breach litigation; extending UTAUT to predict the use of location-based services; project and organizational antecedents of effort withholding in IT project teams; modeling and checking business process compliance rules in the financial sector; participation in open source communities and its implications for organizational commitment; an empirical test of the theory of relationship constraints; an approach for portfolio selection in multi-vendor IT outsourcing; the essential dynamics of information infrastructures; a framework for investigating open innovation processes in ISD; four facets of a process modeling facilitator; a conceptual life event framework for government-to-citizen electronic services provision; perceptual congruence between IS users and professionals on IS service quality - insights from response surface analysis; dynamic service level agreement management for efficient operation of elastic information systems; impact of business intelligence and IT infrastructure flexibility on competitive performance; knowledge refinement effectiveness; towards a framework for measuring knowledge management service productivity; measuring the business value of online social media content for marketers; a data-centric perspective for workflow model management; protecting privacy against regression attacks in predictive data mining; the effects of job design on employees' knowledge contribution to electronic repositories; BI and CRM for customer involvement in product and service development; an effective method of discovering target groups on social networking sites; environmental scanning for customer complaint identification in social media; the effects of user identity and sanctions in online communities on real-world behavior; F-commerce and the crucial role of trust; when artificial feedback hurts - empirical evidence from community-based configuration systems; knowledge collaboration in distributed practice communities; a social identity perspective on participation in virtual healthcare communities; boundary-spanning documents in online communities; network stability and social contagion on the mobile internet; digital complementary assets; trusting social location technologies and interactions; telepresence in business meetings; exploring the role of online social network dependency in habit formation; a sociomateriality practice perspective of online social networking; automatic reputation assessment in Wikipedia; strategic decision support for smart-leasing infrastructure-as-a-service; the impact of different types of satisfaction on C2C platform loyalty; automated negotiations under uncertain preferences; nurturing sales entrepreneurship in consumer-to-consumer marketplaces; competing across different channels for personalized service; the influences of negativity and review quality on the helpfulness of online reviews; winner determination of open innovation contests in online markets; a dual view on IT challenges in corporate divestments and acquisitions; managing the IT integration of acquisitions by multi-business organizations; management commitments that maximize business impact from IT; institutional work and artifact evolution; four perspectives on architectural strategy; a coevolutionary journey of strategic knowledge management alignment; use of social media in disaster management; unpacking the duality of design science; acquiring IT competencies through focused technology acquisitions; IT artifacts and the state of IS research; senior scholars' forum and online social networking and citizen engagement.</t>
  </si>
  <si>
    <t>Conference review</t>
  </si>
  <si>
    <t>measuring the 'bounce back' systems of vulnerable communities in kwazulu-natal, south africa</t>
  </si>
  <si>
    <t>Govender V.; Loggia C.</t>
  </si>
  <si>
    <t>Informal communities often exhibit resilience in the face of disasters and disruptions, by "bouncing back"from shocks and adapting to their vulnerabilities. Understanding the strengths and weaknesses of these communities and the overall level of resilience, is essential to identifying opportunities for improving their capacity to recover and adapt to natural disasters. Although informal settlements promptly respond to immediate threats and disasters (such as fires and floods), they usually remain in a permanent state of vulnerability. Therefore, understanding resilience-building strategies is crucial to empowering communities to become self-reliant and resilient in the long-term. This study investigates the resilience of three informal settlements in KwaZulu-Natal Province (South Africa) namely Havelock, Quarry Road, and Khan Road. A comparative analysis was conducted by mapping these settlements at different points in time, allowing for the evaluation of resilience levels. An indicator-based approach was employed, which is particularly useful in contexts with limited data and resources, providing a practical way to measure community resilience. The resilience assessment toolkit, tested across all settlements, included a series of community workshops that enabled residents and practitioners to participate in the evaluation process. Additionally, drone-mapping technology was used to generate base maps revealing physical vulnerabilities of the settlement while offering a detailed temporal analysis. By tracking these communities' resilience over time, the study offers valuable insights into their responses to recurring and emerging challenges. The findings highlight both strengths and gaps in resilience, revealing opportunities for enhancement. This research proposes a resilience framework that measures the effectiveness of vulnerable communities in bouncing-back from shocks, which can be utilized by local authorities and communities. The framework aims to guide the development of strategies for building resilient communities, moving informal settlements from survival mode to long-term resilience and self-reliance. © Published under licence by IOP Publishing Ltd.</t>
  </si>
  <si>
    <t>10.1088/1755-1315/1554/1/012164</t>
  </si>
  <si>
    <t>impact of urbanization on biodiversity in the global biodiversity hotspot of sikkim himalaya, india: a review</t>
  </si>
  <si>
    <t>Sharma S.; Arya A.K.</t>
  </si>
  <si>
    <t>Sikkim, located in the Eastern Himalayan Region, represents one of the 36 globally recognized biodiversity hotspots and harbors an exceptional range of ecosystems within a relatively small geographic area. Over the past few decades, the region has witnessed rapid urbanization alongside other developmental activities such as hydropower construction, road expansion, mining and infrastructure development. While these processes have contributed to socioeconomic development, they have simultaneously exerted significant pressure on the fragile mountain environment. This review examines the impacts of urbanization on biodiversity in the Sikkim Himalaya drawing attention to the ways in which land-use change due to urbanization, habitat fragmentation and economic development have altered ecological dynamics and threatened biodiversity of this region. The findings of the current study suggest that unplanned urban growth has led to the degradation of forest cover, disruption of ecological corridors thereby diminishing ecosystem resilience of the region. In addition, the current study highlights the challenges of balancing developmental imperatives with environmental conservation in the study area where both ecological integrity and human livelihoods are intricately interdependent. This study highlights the urgent need for integrated land-use planning that incorporates ecological corridors, urban green spaces, and community-based conservation to mitigate biodiversity loss. Strengthened governance, sustainable tourism, invasive species control, and systematic biodiversity monitoring are essential to balance urban development with ecological integrity. Most importantly, holistic and interdisciplinary approaches are critical to ensuring that urban growth in the Global Biodiversity Hotspot of the Sikkim Himalaya aligns with global biodiversity conservation goals and the Sustainable Development Goals (SDGs). © 2026 by the author(s).</t>
  </si>
  <si>
    <t>10.30564/re.v8i1.11720</t>
  </si>
  <si>
    <t>Biodiversity Conservation; Biodiversity Hotspots; Eastern Himalaya; Sikkim Himalaya; Sustainable Development; Urbanization</t>
  </si>
  <si>
    <t>disaster impact on impoverished area of us: an inter-professional mixed method study</t>
  </si>
  <si>
    <t>Banks L.H.; Davenport L.A.; Hayes M.H.; McArthur M.A.; Toro S.N.; King C.E.; Vazirani H.M.</t>
  </si>
  <si>
    <t>Introduction In the foothills of the Cumberland Mountains, in central Appalachia (a region that spans 13 states in the US), sits an economically distressed and rural community of the United States. Once a thriving coal-mining area, this region now is reported as one of the hardest places to live in the US. Southeastern Kentucky, located in a remote, rocky, mountainous area surrounded by rivers and valleys and prone to flooding, experienced a major flood in Spring 2013 causing significant damage to homes and critical infrastructure. Purpose Aims of the study were to: (1) identify and better understand the contextual variables compounding the impact of a disaster event that occurred in Spring 2013; (2) identify ways participants managed antecedent circumstances, risk, and protective factors to cope with disaster up to 12 months post-event; and (3) further determine implications for community-focused interventions that may enhance recovery for vulnerable populations to promote greater outcomes of adaptation, wellness, and readiness. Methods Using an ethnographic mixed-methods approach, an inter-collaborative team conducted face-to-face interviews with (N=12) Appalachian residents about their disaster experience, documented observations and visual assessment of need on an observation tool, and used photography depicting structural and environmental conditions. A Health and Emergency Preparedness Assessment Survey Tool was used to collect demographic, health, housing, environment, and disaster readiness assessment data. Community stakeholders facilitated purposeful sampling through coordination of scheduled home visits. Results Triangulation of all data sources provided evidence that the community had unique coping strategies related to faith and spirituality, cultural values and heritage, and social support to manage antecedent circumstances, risk, and protective factors during times of adversity that, in turn, enhanced resilience up to 12 months post-disaster. The community was found to have an innate capacity to persevere and utilize resources to manage and transcend adversity and restore equilibrium, which reflected components of resilience that deserve greater recognition and appreciation. Conclusion Resilience is a foundational concept for disaster science. A model of resilience for the rural Appalachia community was developed to visually depict the encompassing element of community-based interventions that may enhance coping strategies, mitigate risk factors, integrate protective factors, and strengthen access. Community-based interventions are recommended to strengthen resilience, yielding improved outcomes of adaptation, health and wellness, and disaster readiness. © 2016 World Association for Disaster and Emergency Medicine.</t>
  </si>
  <si>
    <t>10.1017/S1049023X1600090X</t>
  </si>
  <si>
    <t>disaster; flooding; resilience; rural Appalachia; vulnerability</t>
  </si>
  <si>
    <t>Adolescent; Adult; Aged; Disaster Planning; Female; Humans; Interviews as Topic; Kentucky; Male; Middle Aged; Poverty Areas; Qualitative Research; Vulnerable Populations; Young Adult; clinical article; coordination; coping behavior; cultural value; disaster; emergency; flooding; home visit; housing; human; inheritance; interview; model; photography; recognition; religion; resident; risk factor; sampling; social support; spring; vulnerable population; adolescent; adult; aged; disaster planning; female; Kentucky; male; middle aged; poverty; qualitative research; young adult</t>
  </si>
  <si>
    <t>leveraging public health nurses for disaster risk communication in fukushima city: a qualitative analysis of nurses' written records of parenting counseling and peer discussions</t>
  </si>
  <si>
    <t>Goto A.; Rudd R.E.; Lai A.Y.; Yoshida K.; Suzuki Y.; Halstead D.D.; Yoshida-Komiya H.; Reich M.R.</t>
  </si>
  <si>
    <t>Background: Local public health nurses (PHNs) have been recognized as the main health service providers in communities in Japan. The Fukushima nuclear disaster in 2011 has, however, created a major challenge for them in responding to mothers' concerns. This was in part due to difficulties in assessing, understanding and communicating health risks on low-dose radiation exposure. In order to guide the development of risk communication plans, this study sought to investigate mothers' primary concerns and possible solutions perceived by a core healthcare profession like the PHNs. Methods. A total of 150 records from parenting counseling sessions conducted between PHNs and mothers who have attended mandatory 18-month health checkups for their children at the Fukushima City Health and Welfare Center in 2010, 2011 (year of disaster) and 2012 were examined. Discussion notes of three peer discussions among PHNs organized in response to the nuclear disaster in 2012 and 2013 were also analyzed. All transcribed data were first subjected to text mining to list the words according to their frequencies and inter-relationships. The Steps Coding and Theorization method was then undertaken as a framework for qualitative analysis. Results: PHNs noted mothers to have considerable needs for information on radiation risks as they impact on decisions related to relocations, concerns for child safety, and experiences with interpersonal conflicts within the family owing to differing risk perceptions. PHNs identified themselves as the information channels in the community, recommended the building of their risk communication capacities to support residents in making well-informed decisions, and advocated for self-measurement of radiation levels to increase residents' sense of control. PHNs also suggested a more standardized form of information dissemination and an expansion of community-based counseling services. Conclusions: Inadequate risk communication on radiation in the Fukushima nuclear incident has resulted in multiple repercussions for mothers in the community. Empowerment of local residents to assume more active roles in the understanding of their environment, increasing PHNs' capacity in communication, and an expansion of health services such as counseling will together better address risk communication challenges in post-disaster recovery efforts. © 2014 Goto et al.; licensee BioMed Central Ltd.</t>
  </si>
  <si>
    <t>10.1186/1472-6963-14-129</t>
  </si>
  <si>
    <t>Fukushima nuclear accident; Health communication; Japan; Parenting; Public health nurses; Radiation; Risk communication</t>
  </si>
  <si>
    <t>Communication; Counseling; Disasters; Female; Fukushima Nuclear Accident; Health Literacy; Humans; Japan; Parents; Peer Group; Public Health Nursing; Records as Topic; community health nursing; counseling; disaster; female; Fukushima nuclear accident; health literacy; human; information processing; interpersonal communication; Japan; organization and management; parent; peer group; procedures; statistics and numerical data</t>
  </si>
  <si>
    <t>is burundi losing the last remnants of its forests? a high-resolution spatial analysis for the identification of areas at deforestation hazard</t>
  </si>
  <si>
    <t>Piras F.; Santoro A.; Castelli G.; Allegri M.; Nijimbere S.; Hicintuka C.; Preti F.</t>
  </si>
  <si>
    <t>Burundian forests are facing high pressure due to human activities, high population growth rates, and density. The study aims at identifying and classifying Burundian forests according to deforestation hazard (DH) through a high-resolution Composite Mapping Analysis based on multiple drivers: proximity to agricultural areas, to roads, to quarries, to settlements, slope class, presence of protected areas. Forests currently cover about 13% of the terrestrial surface. Most of the forest cover (59%) results to be at high DH and a significant part (25%) at medium hazard. Only 12% of forest cover is at low hazard and 3% at very low hazard. Spatial analyses confirmed the relationship between forest density and DH: where forest cover is &lt;20% (scattered smaller forests) DH is higher compared to areas with forest cover &gt;60% (contiguous large forests). Higher DH values are associated with forests located at intermediate altitude (1000 to 2000 m). DH is of medium-high level also in steep slopes that need particular attention due to hydrogeological risk. Human activities are continuously shrinking Burundian forests, and, while small-scale and family farming contributes to this trend, particular attention should be paid to large plantations that spread in the last decades causing environmental and social problems with limited benefits for the local communities. Small forest patches, having higher DH, need to be preserved for ecological and protective roles (connecting habitats, reducing erosion and landslides). Data calls for the urgent need to balance food production and forest conservation, promoting agricultural training, sustainable agricultural practices, and community-based forest management. © 2026</t>
  </si>
  <si>
    <t>10.1016/j.tfp.2026.101243</t>
  </si>
  <si>
    <t>Composite mapping analysis; East Africa; Land use change; Landscape degradation; Mountain forest</t>
  </si>
  <si>
    <t>deforestation; environmental degradation; hazard assessment; human activity; land use change; landscape; mapping method; montane forest; protected area; spatial analysis</t>
  </si>
  <si>
    <t>20th international conference on web information systems engineering, wise 2019</t>
  </si>
  <si>
    <t>The proceedings contain 50 papers. The special focus in this conference is on Web Information Systems Engineering. The topics include: Personalized Book Recommendation Based on a Deep Learning Model and Metadata; DINRec: Deep Interest Network Based API Recommendation Approach for Mashup Creation; co-purchaser Recommendation Based on Network Embedding; community-Based Recommendations on Twitter: Avoiding the Filter Bubble; memory-Augmented Attention Network for Sequential Recommendation; multi-head Attentive Social Recommendation; CPL: A Combined Framework of Pointwise Prediction and Learning to Rank for top-N Recommendations with Implicit Feedback; RTIM: A Real-Time Influence Maximization Strategy; LSCMiner: Efficient Low Support Closed Itemsets Mining; detecting Fraudulent Accounts on Blockchain: A Supervised Approach; pattern Filtering Attention for Distant Supervised Relation Extraction via Online Clustering; adaptive Rule Adaptation in Unstructured and Dynamic Environments; shadowed Authorization Policies - A Disaster Waiting to Happen?; a Dynamic Decision-Making Method Based on Ensemble Methods for Complex Unbalanced Data; collaborative Wireframing for Model-Driven Web Engineering; handling Disagreement in Ontologies-Based Reasoning via Argumentation; a Cost-Efficient Multi-cloud Orchestrator for Benchmarking Containerized Web-Applications; highlighting Weasel Sentences for Promoting Critical Information Seeking on the Web; generating an Evolving Skills Network from Job Adverts for High-Demand Skillset Discovery; picture News Collection: A Dataset for Automatic Picture News Thumbnail Selection; locking Mechanism for Concurrency Conflicts on Hyperledger Fabric; a Graph-Based Approach to Explore Relationship Between Hashtags and Images; RDF Graph Anonymization Robust to Data Linkage; WebEL: Improving Entity Linking with Extra Web Contexts; entity Disambiguation Based on Parse Tree Neighbours on Graph Attention Network; bibliographic Name Disambiguation with Graph Convolutional Network.</t>
  </si>
  <si>
    <t>geospatial analysis of land degradation and settlement in barru regency: implications for sustainable land management</t>
  </si>
  <si>
    <t>Amiruddin H.B.; Arif S.; Sakka</t>
  </si>
  <si>
    <t>Residential zones are designated for housing and activities that support livelihoods. In Barru Regency, South Sulawesi, Indonesia, a growing population has increased the demand for residential land, intensifying land degradation issues such as landslides in Bulobulo Village, erosion in the Lisu Watershed, and mangrove loss on Pannikiang Island, which is fueled by unsustainable land use and mining practices. This study examined the relationship between population size and optimal settlement land, while assessing the compatibility of suitable land with the Barru Regency Spatial Plan (RTRW) for the period 2011-2031. The methodology employed geospatial analysis using GIS overlay techniques and mathematical modeling, incorporating flood and landslide vulnerability to evaluate carrying capacity. Results revealed that all sub-districts had a carrying capacity index (DDPm) above 1, but only 1, 563.2 ha of the 33, 694.2 ha identified as suitable overlapped with RTRW allocations, exposing a critical mismatch. This mismatch indicates that current spatial planning does not adequately integrate land degradation risks. The findings provide evidencebased guidance for revising the RTRW, supported by practical restoration strategies, including reforestation of degraded watersheds, slope stabilization in landslide-prone areas, and community-based mangrove rehabilitation. By linking geospatial mapping with management recommendations, this study contributes a novel framework for sustainable and disaster-resilient settlement planning on degraded lands. © CC BY-NC 4.0| Attribution NonCommercial 4.0 International</t>
  </si>
  <si>
    <t>10.15243/jdmlm.2026.131.9081</t>
  </si>
  <si>
    <t>land rehabilitation; land use optimization; residential carrying capacity; settlement sustainability; sustainable urban planning</t>
  </si>
  <si>
    <t>ecological network construction and resilience optimization of coastal zones in megacity clusters: a case study of the guangdong–hong kong–macao greater bay area</t>
  </si>
  <si>
    <t>Huang Y.; Li H.; He Y.; Xu Q.; Liao L.; Sheng H.; Du J.</t>
  </si>
  <si>
    <t>Coastal zones in rapidly urbanizing regions are increasingly threatened by climate change and human activities, yet conventional static ecological network planning inadequately addresses future dynamic risks. Focusing on the Guangdong–Hong Kong–Macao Greater Bay Area (GBA), we present a resilience-oriented optimization framework that couples dynamic ecosystem-service projections with multi-scenario climate stressors (sea-level rise, storm surges, and pluvial flooding). The framework integrates risk forecasting, spatial optimization, and dual resilience assessment based on complex-network metrics and simulated attack models. Results show that the optimized network substantially improved structural connectivity and functional redundancy: key and important corridors increased by 133.3% and 348.7%, respectively; robustness and redundancy rose by 11% and 30%. Under simulated dynamic attacks, the optimized network tolerated a substantially higher proportion of critical-node failures before functional collapse compared with the pre-optimization network. Our approach demonstrates that incorporating dynamic risk projections into ecological-network planning markedly enhances system resilience and provides transferable spatial solutions for balancing conservation and climate adaptation in densely urbanized coastal regions. © 2026 Elsevier B.V. All rights are reserved, including those for text and data mining, AI training, and similar technologies.</t>
  </si>
  <si>
    <t>10.1016/j.ecoleng.2026.107916</t>
  </si>
  <si>
    <t>Coastal Ecological Network; Megacity cluster; Multi-scenario simulation; Resilience Assessment; Spatial optimization</t>
  </si>
  <si>
    <t>China; Guangdong; Hong Kong; Macau; Climate change; Coastal zones; Complex networks; Data mining; Dynamics; Ecosystems; Risk assessment; Sea level; Coastal ecological network; Ecological networks; Megacities; Megacity cluster; Multi scenarios; Multi-scenario simulation; Optimisations; Resilience assessment; Scenario simulations; Spatial optimization; climate change; coastal zone; ecosystem service; forecasting method; human activity; local adaptation; megacity; optimization; Redundancy</t>
  </si>
  <si>
    <t>brine chemistry matters: isolation by environment and by distance explain population genetic structure of artemia franciscana in saline lakes</t>
  </si>
  <si>
    <t>Frisch D.; Lejeusne C.; Hayashi M.; Bidwell M.T.; Sánchez-Fontenla J.; Green A.J.</t>
  </si>
  <si>
    <t>The American brine shrimp Artemia franciscana is important in aquaculture and has become invasive in other continents, aided by dispersal via waterbirds. However, little is known about processes underlying its genetic diversity and population structure in its natural habitat in North America. These processes, including dispersal and local adaptation, are pivotal drivers of species distribution and community structure, and therefore central to aquatic biodiversity. We studied 15 populations in natural saline lakes of Saskatchewan, Canada to determine the influence of variation in geological history, water chemistry, lake size, and location. We aimed to determine the relative importance of isolation by distance and isolation by environment using the cytochrome c oxidase subunit 1 gene (CO1) as a mitochondrial marker and five nuclear microsatellite markers. Geographic patterns for CO1 and microsatellites differed, with lakes clustering in different groups based on genetic distances according to the marker used. CO1 better indicated historical colonisation processes, suggesting potential routes of initial colonisation when lakes were formed after deglaciation 11,000–15,000 years ago. Differentiation between lakes based on nuclear markers was strongly related to variation in hydrochemistry, suggested by distance-based redundancy analysis, but there was no indication of isolation by distance. The ratio between alkalinity and the sum of Ca and Mg concentrations was particularly important, although a lake with a high Cl concentration caused by potash mining also had a unique Artemia population. Geochemistry is important in the adaptive radiation of anostracan crustaceans. Our study suggests that it also underlies intraspecific genetic variation between populations, promoting isolation by environment, and making dispersal ineffective when cysts are moved by birds between lakes with different hydrochemistry. ​. © 2021 The Authors. Freshwater Biology published by John Wiley &amp; Sons Ltd.</t>
  </si>
  <si>
    <t>10.1111/fwb.13737</t>
  </si>
  <si>
    <t>brine shrimps; colonisation route; dispersal; hydrogeochemistry; native region</t>
  </si>
  <si>
    <t>ipo-based evaluation of sustainable postdisaster recovery from stakeholder perspectives of the lushan earthquake</t>
  </si>
  <si>
    <t>Gan L.; Wei L.; Huang S.; Hou C.; Zhou Y.; Han B.T.</t>
  </si>
  <si>
    <t>Assessing disaster resilience is one of the important research issues for disaster risk management. The process of postdisaster recovery (PDR) involves multiple stakeholders, and their expectations and engagement are considered a key factor for the success of PDR projects. This paper is oriented toward sustainable development, combined with the demands of many stakeholders, and proposes a comprehensive recovery evaluation that considers the sustainability of community resilience. Based on internet public opinion (IPO), a novel method integrating a modified analytic hierarchy process (AHP) and hesitant fuzzy linguistics (HFL) is introduced to guarantee multiple stakeholders’ engagement. Specifically, literature research and field interviews are combined with IPO data using text mining techniques to establish evaluation indices. The evaluation results indicate that the overall recovery level of the Lushan earthquake is between fairly and slightly good. It reveals that balances between social (e.g., infrastructure reconstruction, public services and economic recovery, etc.) and individual aspects (e.g., housing allowance, life recovery, mental health, etc.) are needed for recovery improvements. Moreover, housing is regarded as the most urgent and critical task in PDR. Accordingly, increasing requirements for the protection of intangible heritages are anticipated. Finally, possible policies on recovery and poverty alleviation are recommended. © 2023 American Society of Civil Engineers.</t>
  </si>
  <si>
    <t>10.1061/NHREFO.NHENG-1596</t>
  </si>
  <si>
    <t>Hesitant fuzzy linguistic (HFL); Internet public opinion (IPO); Modified analytic hierarchy process; Multistakeholder engagement; Postdisaster recovery (PDR); Sustainable development</t>
  </si>
  <si>
    <t>China; Lushan [Sichuan]; Sichuan; Disasters; Earthquakes; Housing; Linguistics; Recovery; Risk assessment; Risk management; Sustainable development; Fuzzy linguistics; Hesitant fuzzy linguistic; Internet public opinion; Internet public opinions; Modified analytic hierarchy process; Multi-stakeholder; Multiple stakeholders; Multistakeholder engagement; Post disasters; Postdisaster recovery; data mining; disaster; disaster management; earthquake damage; housing; Lushan earthquake 2013; poverty alleviation; resilience; sustainability; Analytic hierarchy process</t>
  </si>
  <si>
    <t>limnological perspectives on conservation of floodplain lakes in the amazon basin</t>
  </si>
  <si>
    <t>Melack J.M.; Kasper D.; Amaral J.H.F.; Barbosa P.M.; Forsberg B.R.</t>
  </si>
  <si>
    <t>Limnological aspects of Amazon floodplain lakes are examined in the context of aquatic conservation. A prerequisite to detecting and evaluating changes that could threaten the ecological health and organisms in floodplain lakes is understanding variation under present conditions. Based on one of the few studies with regular measurements over 2 years, chlorophyll, total phosphorus, dissolved oxygen, transparency, and total suspended solids in Lake Janauacá indicate that the lake is naturally quite variable with a mesotrophic to eutrophic status. Direct threats to ecological health of floodplain lakes include mining operations that can increase turbidity and trace metals and reduce nutritional quality of sediments. Mercury contamination and methylation leads to bioaccumulation in aquatic organisms. Deforestation in uplands increases nitrogen and phosphorus inputs to floodplain lakes and can alter trophic status. Deforestation in floodable forests alters the habitat and food of the fish that inhabit these forests. Cumulative limnological responses as catchments are altered by urban, agricultural, and industrial developments, and as inundation is altered by changes in climate and construction of dams, have major implications for the ecology of floodplain lakes. To improve understanding and management of threats to the conservation of aquatic Amazon biota and ecosystems requires considerably expanded and coordinated research and community-based management that includes the spectrum of floodplain lakes throughout the basin. © 2021 John Wiley &amp; Sons, Ltd.</t>
  </si>
  <si>
    <t>10.1002/aqc.3556</t>
  </si>
  <si>
    <t>climate change; ecosystem approach; floodplain; impoundment; lake; mining; water quality</t>
  </si>
  <si>
    <t>Amazon Basin; aquatic organism; bioaccumulation; conservation management; deforestation; ecosystem health; floodplain; habitat management; lacustrine environment</t>
  </si>
  <si>
    <t>mining hazard risk reduction and resilience</t>
  </si>
  <si>
    <t>Sima M.; Morosanu G.A.</t>
  </si>
  <si>
    <t>Mining hazard risk reduction and resilience is a complex concept involving two major actions: framing the risks posed by the hazard in an adequate typology and taking the necessary steps toward achieving resilience. Proper risk management requires a good degree of knowledge of the types of risk related to mining activities. Thus, this chapter distinguishes between several types of risks raised by mining activities, based on the surface or underground operations involved, either single or multihazard types that could have an impact on the environment and people’s health. This chapter reviews conservation and rehabilitation initiatives, in the context of the circular economy, as an important step toward mine hazard prevention and reduction. It also puts forward several guidelines to enhance the community resilience facing mining-related hazards that are derived from a number of examples of good practices. This chapter represents a review of existing literature and case studies to show the different types of mining hazards. Therefore, due to the need to undertake a selection of the most relevant publications, and also for reasons of brevity, it does not and cannot pretend to represent an exhaustive presentation of all works published on this topic. © Springer Nature Switzerland AG 2022.</t>
  </si>
  <si>
    <t>10.1007/978-3-030-72196-1_4</t>
  </si>
  <si>
    <t>Community resilience; Environmental impacts; Mine slope instability; Mining hazards; Risk assessment; Risk Reduction; Sustainability</t>
  </si>
  <si>
    <t>an inclusive approach to disaster risk reduction in water-related hazards for the mining industry: prioritizing the multi-dimensional risk framework for achieving sustainable development</t>
  </si>
  <si>
    <t>Siddique A.; Tan Z.; Li J.; Algarni A.; Zardari I.A.; Zeshan M.; Khurram S.H.; Kumar D.</t>
  </si>
  <si>
    <t>Mining regions globally face escalating water-related hazards such as scarcity, contamination, and flooding, intensified by climate change and unsustainable practices. Conventional risk models often overlook the interconnected ecological, technological, and governance dimensions critical for achieving sustainable development goals (SDGs), particularly SDG 6 (clean water), SDG 9 (industry innovation), and SDG 13 (climate action). This study introduces a multi-dimensional risk framework to holistically assess water hazards in China’s mining regions, integrating seven dimensions: environmental, social, governance, economic, geological/technical, community-based, and technological. Data from various sources and participatory surveys were analyzed using expert-weighted scoring and stakeholder validation. Water scarcity (93% severity) and contamination (88% severity) were identified as critical threats, with groundwater extraction exceeding recharge rates by 120% and acid mine drainage linked to a 30% increase in waterborne diseases. Case studies demonstrated the efficacy of inclusive interventions: IoT-driven water recycling (water quality and quantity monitoring) reduced contamination incidents by 35%, while decentralized filtration systems improved safe water access for 8000 households in southwestern China. The study highlights systemic gaps in rural technological adoption (20% IoT usage) and regulatory enforcement, advocating for SDG-aligned policies such as nature-based flood mitigation (SDG 15) and public–private partnerships for water infrastructure (SDG 9). The multi-dimensional risk framework links resilience, stewardship, and governance to model sustainable mineral extraction. This research underscores that sustainable mining necessitates prioritizing water security through adaptive technologies and participatory governance, ensuring that mining ecosystems contribute to global SDG targets in an era of climate uncertainty. © The Author(s) under exclusive licence to International Mine Water Association 2025.</t>
  </si>
  <si>
    <t>10.1007/s10230-025-01082-9</t>
  </si>
  <si>
    <t>Acid mine drainage; Groundwater depletion; Mining sector sustainability; Public–private partnerships; Risk assessment; Water scarcity</t>
  </si>
  <si>
    <t>new oil developments in a remote area: environmental justice and participation in turkana, kenya</t>
  </si>
  <si>
    <t>Mkutu K.; Mkutu T.; Marani M.; Ekitela A.L.</t>
  </si>
  <si>
    <t>Recent discoveries of oil and gas in eastern Africa often happen in marginalized and underdeveloped areas, such as Turkana, Kenya, an arid county inhabited predominantly by pastoralists. As a result of low political participation and weak governance frameworks for the emerging hydrocarbon industry, the pastoralists face displacement from land, exposure to environmental hazards, and exclusion from decision-making and benefit-sharing arrangements. Their interests are further sidelined by elite capture and a strong national development agenda supported by international actors. Community members have aired their grievances against both the investor and the state through protests, disrupting company operations. This work argues that two of the pillars of environmental justice, participation and recognition, are lacking in the county and that authentic participation should be pursued to avoid destruction of community capabilities and conflict. Because there is historical opposition to the state and its allies, the county government should consider working closely with trusted providers in the county, namely, faith-based organizations and their civil society counterparts, to bring about more authentic participation, community empowerment, and ultimately better governance for just distribution of benefits and harms. © The Author(s) 2019.</t>
  </si>
  <si>
    <t>10.1177/1070496519857776</t>
  </si>
  <si>
    <t>East Africa; environmental justice; extractive industries; indigenous people; Kenya; marginalization; oil; participation; social risks; Turkana</t>
  </si>
  <si>
    <t>Kenya; Turkana; civil society; environmental justice; indigenous population; local participation; marginalization; oil industry; participatory approach; risk factor</t>
  </si>
  <si>
    <t>protecting the earth, reading the nature: the disaster mitigation tradition of the nagari pauh kamang mudik community in the crevice of the limestone hills</t>
  </si>
  <si>
    <t>Anwar K.; Khallifhatul Khanh V.; Qurratu Ayuni Khanh V.; Rosa S.</t>
  </si>
  <si>
    <t>The people of Nagari Pauh Kamang Mudik, who live in a limestone hilly region, live in a space fraught with risks and potential. The karst landscape provides livelihoods through wetland and dryland agriculture and limestone mining. However, this area is also prone to ecological disasters such as landslides, drought, and environmental degradation. This research highlights the traditions of disaster mitigation based on local wisdom that have been developed through generations, such as the ability to read natural signs and organize living spaces according to safe contours. This study is urgent given the increasing ecological vulnerability due to uncontrolled limestone exploitation and the impact of climate change on the local hydrological system. The primary focus is how the community balances economic activities with environmental sustainability while maintaining traditional knowledge amidst modernization. Using qualitative methods and a participatory ethnographic approach, this research combines field observations, interviews with traditional elders, farmers, and miners, and a review of local cultural documents. Using an ecocritical framework, specifically the Ecological Knowledge System and Community-Based Disaster Risk Reduction (CBDRR), this study demonstrates that the community has a contextual and collective mitigation system. These findings recommend integrating local knowledge into mitigation policies, especially in areas with unique landscapes like limestone hills. © 2025 The Authors, published by EDP Sciences.</t>
  </si>
  <si>
    <t>10.1051/e3sconf/202567702003</t>
  </si>
  <si>
    <t>social innovation, ecological crises and creating mining host community resilience in southern africa</t>
  </si>
  <si>
    <t>Chipangamate N.S.; Nwaila G.T.</t>
  </si>
  <si>
    <t>Mining firms in emerging markets succeed when they also overcome several urgent global issues. For example, they confront environmental impacts, social inequalities and economic uncertainties in regions with limited infrastructure. Mining firms grapple with addressing two urgent ecological crises, climate change and biodiversity loss, in the current Anthropocene era. This is especially so because of the devastating environmental impacts of mining processes. In developed countries, managing disasters resulting from global warming, including heat waves, droughts, floods, and pandemics is largely the responsibility of governments. However, in emerging markets the mining industry plays a more critical role in addressing these challenges, such that it has become an expectation even from the governments, communities and other stakeholders. It has, therefore, become crucial for the industry to actively build resilient host communities that are better prepared to handle the dual crises. Despite social innovation bearing promise as a mechanism for creating community resilience, few studies have analysed how ecological challenges and monitoring of community needs shape social innovation processes. We critically examine how mining companies design interventions to build community resilience and encourage social learning. Our analysis synthesises findings from both resilience studies and social innovation research. We argue that local resources and capabilities, governance and networks, and process dynamism are crucial elements in social innovation processes. They are important in creating resilient communities to deal with ecological shocks and stresses. We further examine how monitoring, evaluation and social learning, together with community attributes, shape social innovation processes and strengthen resilience. We conducted a systematic literature review to develop a framework of social innovation for building resilient mining communities in emerging markets. We end by proposing opportunities for future research to refine our knowledge further and strengthen the ability of mining operations to build resilient communities. © 2025 The Authors</t>
  </si>
  <si>
    <t>10.1016/j.exis.2025.101756</t>
  </si>
  <si>
    <t>Biodiversity loss; Climate change; Community resilience; Evaluation; Monitoring; Social innovation; Social innovation assessment; Social learning</t>
  </si>
  <si>
    <t>Review</t>
  </si>
  <si>
    <t>the evolution of transformative resilience research topics: a data-driven analysis</t>
  </si>
  <si>
    <t>Zhao R.; Yang M.; Long D.; Fan X.; Zhang Z.; Duan Y.; Zhang Z.; Ye Y.; Chen J.</t>
  </si>
  <si>
    <t>Transformative resilience has not yet been adequately established in fixed notions and research areas. This study endeavors to define transformative resilience through data-driven insights and explores trends in related research by mapping its topics and fields. We employed Latent Dirichlet Allocation (LDA) topic modeling, which extracts key terms and insights into topics from a large volume of literature. We traced the evolution of research topics from 1951 to 2024 based on connections between citations. The data were sourced from the Scopus database using the query term “transformative resilience”, encompassing titles, abstracts, and keywords of journal articles, book chapters, and conference papers. We collected a total of 3110 related pieces of literature. We defined transformative resilience as a change of system structure accompanied by a shift in socio-political values and policy. The results of LDA showed that transformative resilience research has developed into seven fields: Innovation and Economic Policy, Supply Chain and Technological Response, Health and Social Well-being, Agriculture and Environmental Impact, Community Resilience and Disaster Recovery, Sustainability Theory and Practice, and Urban Governance and Planning. Based on topic evolution relationships, topics anchored in a context perspective have grown increasingly specialized and productive, while those rooted in a theory perspective have stagnated or remained underexplored. Our findings suggest that transformative resilience studies should foster greater interdisciplinary connections to effectively integrate current research, merging mechanization-centered approaches with a focus on building context-centered resilience. © 2025 Elsevier Ltd</t>
  </si>
  <si>
    <t>10.1016/j.cities.2025.106425</t>
  </si>
  <si>
    <t>Latent Dirichlet Allocation (LDA); Research evolutionary relationship; Scopus; Text mining; Transformative resilience; Transformative resilience knowledge mapping</t>
  </si>
  <si>
    <t>data mining; mapping; research; sustainability</t>
  </si>
  <si>
    <t>enhancing disaster management effectiveness: an integrated analysis of key factors and practical strategies through structural equation modeling (sem) and scopus data text mining</t>
  </si>
  <si>
    <t>Geddam S.M.; Raj Kiran C.A.</t>
  </si>
  <si>
    <t>In the 21st century, the surge in natural and human-induced disasters necessitates robust disaster management frameworks. This research addresses a critical gap, exploring dynamics in the successful implementation and performance monitoring of disaster management. Focusing on eleven key elements like Vulnerability and Risk Assessment, Training, Disaster Preparedness, Communication, and Community Resilience, the study utilizes Scopus Database for secondary data, employing Text Mining and MS-Excel for analysis and data management. IBM SPSS (26) and IBM AMOS (20) facilitate Exploratory Factor Analysis (EFA) and Structural Equation Modeling (SEM) for model evaluation. The research raises questions about crafting a comprehensive, adaptable model, understanding the interplay between vulnerability assessment, training, and disaster preparedness, and integrating effective communication and collaboration. Findings offer actionable insights for policy, practice, and community resilience against disasters. By scrutinizing each factor's role and interactions, the research lays the groundwork for a flexible model. Ultimately, the study aspires to cultivate more resilient communities amid the escalating threats of an unpredictable world, fostering effective navigation and thriving. © 2024 The Author(s)</t>
  </si>
  <si>
    <t>10.1016/j.ghm.2024.03.001</t>
  </si>
  <si>
    <t>Disaster Management; Exploratory Factor Analysis (EFA); Scopus Data; Structural Equation Modeling (SEM); Text Mining</t>
  </si>
  <si>
    <t>mine ownership and community relations: comparing hydrosocial dynamics of public and private companies in chile</t>
  </si>
  <si>
    <t>Odell S.D.; Bebbington A.</t>
  </si>
  <si>
    <t>Debate over the merits of public versus private control of extractive industries has reemerged in recent electoral cycles of Latin American countries. Outcomes have major political and economic implications, given the global shift to clean energy that will increase demand for minerals such as copper and lithium. Yet less attention has been paid to whether and how socio-environmental relations with host communities may differ between state-owned and private mining companies. We examine this question through analysis of the decision by the National Copper Corporation of Chile (Codelco) to abandon its Andina-244 mine expansion proposal following local protest over harm to glaciers, in contrast to actions by two private companies that faced local opposition over water impacts. Results indicate that stakeholders perceive Codelco to perform worse than private companies on localized socio-environmental issues, owing to spending restrictions, the country's dependence on it for government revenue, and greater pressure placed on international firms. However, its decision to abandon the Andina-244 proposal owed more to the interaction of the geographical, technical, economic, political, downstream, and power relations factors of hydrosocial displacements theory—as well as a new factor, institutional constraints—than to its ownership specifically. These results indicate the need for policy attention to local socio-environmental concerns near public and private mines alike; the importance of policies that counter the creation of sacrifice zones, especially for state-owned operations; and the importance of including peripheral voices in political settlements over natural resources, such as in the current process of rewriting Chile's constitution. © 2023 Elsevier Ltd</t>
  </si>
  <si>
    <t>10.1016/j.resourpol.2023.103380</t>
  </si>
  <si>
    <t>Chile; Clean energy; Extractive industries; Latin America; Political ecology; Water</t>
  </si>
  <si>
    <t>Chile; Latin America; Decision theory; Ecology; Economics; Mining; Public relations; Chile; Clean energy; Codelco; Community relations; Electoral cycles; Extractive industry; Latin America; Political ecology; Private companies; Public company; comparative study; copper; environmental issue; extraction method; lithium; local participation; mine; natural resource; participatory approach; political economy; power relations; public-private partnership; stakeholder; state owned enterprise; Copper</t>
  </si>
  <si>
    <t>a cyclone preparedness plan for the coastal blocks of the indian sundarban</t>
  </si>
  <si>
    <t>Kar N.S.; Basu A.</t>
  </si>
  <si>
    <t>Sundarban is a designated world heritage with world’s largest contiguous mangrove forest cover, shared by India and Bangladesh. The Indian part is divided into two morphological units: reclaimed section and non-reclaimed mangrove forests. Here alarming changes are reported in light of erratic monsoons, increasing sea levels, salinity, frequent cyclones and coastal flooding, vanishing islands, and socio-economic crisis; leading to growing numbers of ecological refugees. It is one of the most cyclone prone areas in the world. Though there are piecemeal efforts in tackling the menace of cyclone, a holistic cyclone preparedness plan with bottom-up approach is still missing. This lacuna was glaringly highlighted during cyclone Amphan on May 20, 2020, when the state was reeling under the COVID-19 pandemic. To minimize the loopholes in the existing cyclone mitigation practices, the paper tries to prepare a process prototype by involving (a) Occurrence-Resistance-Resilience Analysis and (b) Preparedness-Risk Reduction-Capacity Assessment: encompassing physical and socio-economic parameters. For the first part, vulnerable zone identification through data mining of cyclone occurrence and identification of eroding and stable sections; analysing land use change; studying hydrographic and hydrologic condition affecting the embankment stability; and scrutinising the socio-economic condition and infrastructural amenities present needs to be conducted. The second part entails devising effective management strategies through the following: upgradation of disaster warning system; optimising the location of cyclone shelters and relief distribution centres; efficient relief distribution; and viability checking of insurance cover. This proactive approach reflecting the ground reality would be beneficial for formulating an effective Cyclone Preparedness Plan with a participatory approach. © 2023, The Author(s), under exclusive licence to Springer Nature B.V.</t>
  </si>
  <si>
    <t>10.1007/s11852-023-00978-4</t>
  </si>
  <si>
    <t>Climate change; Covid-19; Cyclone; Disaster management; Sundarban; Vulnerability</t>
  </si>
  <si>
    <t>India; climate change; climate effect; COVID-19; disaster management; epidemic; forest cover; forest dynamics; vulnerability</t>
  </si>
  <si>
    <t>physical environment and human context at merapi volcano: a complex balance between accessing livelihoods and coping with volcanic hazards</t>
  </si>
  <si>
    <t>Lavigne F.; Mei E.T.W.; Morin J.; Humaida H.; Moatty A.; de Bélizal E.; Hadmoko D.S.; Grancher D.; Picquout A.</t>
  </si>
  <si>
    <t>Merapi is a two-sided, paradoxical volcano: on the one hand 1.8 million people live on its flanks. It is one of the most densely populated volcanoes on Earth, with population densities averaging 764 inhabitants per square kilometre within a 10 km radius from the summit. The main reasons for the high densities are land resources and associated livelihoods from agriculture, livestock, sand mining, and tourism. On the other hand, Merapi is also one of the world’s most active volcanoes. Dome-collapse pyroclastic density currents (PDCs) occur every few years (e.g. 1994, 2002, 2006), and more violent explosive episodes are generated with an average recurrence interval of several decades (e.g. 1872, 1930, 2010). Risk management at Merapi is based on volcanic hazard zonation (called KRB I, II, and III, from the less exposed to the most exposed), derived from its eruptive history. Since its first publication by the Volcanological Survey of Indonesia in 1978, the danger map has been updated twice, in 2002 and after the deadly eruption of Merapi in 2010. Most of the information is provided by scientists during the ‘raising awareness program’ phase and achieved in the framework of a Community-Based Disaster Risk Management (CBDRM), which empowers communities with self-developed ways of coping with crises due to natural hazards. In periods of emergency, the Center for Volcanology and Geological Hazard Mitigation provides four warning levels of volcanic activity. In 2010, Merapi produced its largest eruption since 1872, damaging around 12,000 buildings, claiming 367 lives, including 200 directly by PDCs, and triggering massive evacuations of up to 400,000 people, as counted in the evacuation camps. © 2023, Springer Nature Switzerland AG.</t>
  </si>
  <si>
    <t>10.1007/978-3-031-15040-1_2</t>
  </si>
  <si>
    <t>Capacities; Land resources; Livelihoods; Merapi; Risk and crisis management; Vulnerability</t>
  </si>
  <si>
    <t>from data modeling to algorithmic modeling in the big data era: water resources security in the asia-pacific region under conditions of climate change</t>
  </si>
  <si>
    <t>Levy J.; Prizzia R.</t>
  </si>
  <si>
    <t>Advances in computing technologies allow machine learning algorithms to automatically, repeatedly and quickly apply complex mathematical calculations to water resources and environmental security challenges. The concomitant increase in “big data” research, development, and applications is also driving the popularity of real-time automated model building and data mining for these security problems under conditions of climate change. The last decade has seen considerable growth in the theory and application in Artificial Intelligence (AI). It is shown that machine learning, a subset of AI, constitutes a data analysis method that focuses on the development of algorithms that can iteratively learn from data to uncover previously “hidden insights” for environmental security managers in the Asia Pacific. It is concluded that deep machine learning (i.e. deep learning) can help to reduce losses to ecosystems, livelihoods, and businesses. In particular, these losses can be more likely prevented and minimized through the use of data and algorithmic modeling that improves community resilience by institutionalizing sustainable hazard mitigation within accepted processes of water resources community planning and economic development before disasters happen. Key environmental threats including foods, population extinction, water quality and climate change are considered. The difference between the algorithmic modeling and data modeling cultures are summarized with reference to the schools in which they originate, the assumptions they work on, the type of data they deal with, and the techniques used. © Springer International Publishing AG 2018.</t>
  </si>
  <si>
    <t>10.1007/978-3-319-61729-9_9</t>
  </si>
  <si>
    <t>Algorithmic modeling; Big data; Resilience; Sustainability</t>
  </si>
  <si>
    <t>environmental health research recommendations from the inter-environmental health sciences core center working group on unconventional natural gas drilling operations</t>
  </si>
  <si>
    <t>Penning T.M.; Patrick N.; Gray K.; Howarth M.; Yan B.</t>
  </si>
  <si>
    <t>Background: Unconventional natural gas drilling operations (UNGDO) (which include hydraulic fracturing and horizontal drilling) supply an energy source that is potentially cleaner than liquid or solid fossil fuels and may provide a route to energy independence. However, significant concerns have arisen due to the lack of research on the public health impact of UNGDO.; Objectives: Environmental Health Sciences Core Centers (EHSCCs), funded by the National Institute of Environmental Health Sciences (NIEHS), formed a working group to review the literature on the potential public health impact of UNGDO and to make recommendations for needed research.; Discussion: The Inter‑EHSCC Working Group concluded that a potential for water and air pollution exists that might endanger public health, and that the social fabric of communities could be impacted by the rapid emergence of drilling operations. The working group recommends research to inform how potential risks could be mitigated.; Conclusions: Research on exposure and health outcomes related to UNGDO is urgently needed, and community engagement is essential in the design of such studies. Citation: Penning TM, Breysse PN, Gray K, Howarth M, Yan B. 2014. Environmental health research recommendations from the Inter-Environmental Health Sciences Core Center Working Group on Unconventional Natural Gas Drilling Operations © 2014, Environmental Health Perspectives. All right reserved.</t>
  </si>
  <si>
    <t>10.1289/ehp.1408207</t>
  </si>
  <si>
    <t>Environmental Exposure; Environmental Health; Extraction and Processing Industry; Groundwater; Humans; Natural Gas; Public Health; Research; Water Pollutants, Chemical; Water Pollution; aromatic hydrocarbon; barium; benzene; bromide; carbon dioxide; chloride; diesel fuel; ethane; gasoline; ground water; heavy metal; mercury; methane; nitrogen dioxide; polycyclic aromatic hydrocarbon; propane; radioactive material; sea water; silicon dioxide; strontium; sulfur oxide; trace metal; xylene; natural gas; water pollutant; air pollutant; air pollution; air quality; Article; congenital heart malformation; environmental health sciences core center; fuel and fuel related phenomena; health care organization; human; lung cancer; medical research; nonhuman; participatory research; priority journal; radioactivity; suspended particulate matter; unconventional natural gas drilling operation; waste water management; water contamination; water pollutant; water quality; adverse effects; chemistry; environmental exposure; environmental health; mining; procedures; public health; research; statistics and numerical data; water pollution</t>
  </si>
  <si>
    <t>management of peatland in the mekong river delta of vietnam</t>
  </si>
  <si>
    <t>Le Q.P.; Xuan Le T.</t>
  </si>
  <si>
    <t>Peatland area in Vietnam is very small compared to that in other countries in Southeast Asia such as Indonesia, Malaysia, and the Philippines. After years of exploitation, most of the peatland areas in Vietnam became negligible except in a few locations in the Mekong River Delta (MRD). Peatlands in the MRD were formed mainly after the middle Holocene transgression period until hundred years ago. The typical types included: ancient coastal marsh peat mixed swampy peat and modern coastal swamp peat. Most of the peatlands are found in ancient swamps and ancient abandoned channel courses scattered across the delta. Many peatland areas in the MRD have been lost, others severely degraded due to inappropriate management practices for decades. They include (1) uncoordinated sectoral approach leading to overlapping management, (2) limited capacity for peatland management, (3) lack of systematic researches on peatlands, and (4) demand for land for food production of poor people living in and around peatland areas. Inappropriate management and lack of knowledge about peatland resources have led to activities that caused loss of peatland resources, including conversion to agricultural land, drainage, mining for organic fertilizer production, fuel, among others. Previously, the area of peatland was estimated to be tens of thousands of hectares. Its area has decreased to about 13,000 ha. The largest area of peatland is mainly in the U Minh region, and few small areas scatter in the Long Xuyen Quadrangle, in the MRD. U Minh peat-swamp is considered a very large peatland located in U Minh Thuong (Kien Giang Province) and U Minh Ha (Ca Mau Provinces), currently, the total remaining peat area is only about 12,667 ha, in which U Minh Thuong and U Minh Ha account for 3231 ha and 9436 ha, respectively. Although only a small area, the U Minh peatland stores a significant amount of carbon. It also has a large area of Melaleuca forest, which is capable of absorbing a significant amount of carbon dioxide from the atmosphere. A large area in U Minh peat-swamp, including U Minh Thuong and U Minh Ha, is now established as national parks for preserving peatland resources, including ecosystems and biodiversity. Both the U Minh Thuong and U Minh Ha peatlands are assessed to have a diversity of wetland ecosystems and high biodiversity of plant and animal species that need to be preserved in Vietnam. Few small peatland areas scattering in the Long Xuyen Quadrangle are being exploited for fertilizer production, although the provincial government has decided to stop exploitation in new areas. Inappropriate hydrological management in U Minh peatlands has resulted in quite serious forest fires and peat fires in previous years, especially forest fires in 2002. Forest fires in peatlands seriously damage not only peat-swamp forest ecosystems but also habitats and animals in both national parks. Integrated water and fire management applied effectively have ceased forest fires in U Minh Thuong National Park since 2009. Meanwhile, U Minh Ha National Park still faces the risks of forest fires and peatland oxidation due to adequate method of water retention in the dry season. Nature conservation in the U Minh peat-swamp has faced a conflict of interest with local communities who have lived in the peatland area for a long time. The demand for agricultural production land and peatland resources as important sources of their livelihoods has been affected after nature reserves establishment. The application of integrated fire and water management, local community-based natural resource management, and afforestation resulted in positive effects on the rehabilitation of U Minh peatland ecosystems and on the socio-economic development for the local community in recent years. © The Editor(s) (if applicable) and The Author(s), under exclusive license to Springer Nature Singapore Pte Ltd. 2021.</t>
  </si>
  <si>
    <t>10.1007/978-981-33-4654-3_29</t>
  </si>
  <si>
    <t>Mekong river delta; Melaleuca; Peatlands ecosystems; U Minh Ha; U Minh Thuong</t>
  </si>
  <si>
    <t>amazonian freshwater wetlands: biodiversity, livelihoods, and conservation</t>
  </si>
  <si>
    <t>Wittmann F.</t>
  </si>
  <si>
    <t>Amazonian freshwater wetlands vary in hydrology, fertility, and productivity and therefore offer different ecosystem services to humans. While the nutrient-rich large river wetlands along white-water rivers are intensely used for fisheries and agriculture, the other important Amazonian wetland types, such as large river wetlands along black-water and clear-water rivers, riparian wetlands along low-order streams, permanent inundated swamps, and hydromorphic white-sand savannas, are mostly oligotrophic and nutrient-poor and therefore offer only very specific resources and use types. Threats to all Amazonian wetlands are manyfold and increasing, and include deforestation, the construction of river dams, excavations, pollution through mining, pollution through industrial and domestic wastewater, agricultural activities, navigation, fishponds, and the unsustainable resource use of timber and further wetland resources. Climate change leads to higher water temperatures and increasing hydrological extremes, affecting aquatic and floodplain organisms and trophic webs. The effective and integrative protection of Amazonian freshwaters at the landscape level demands national and transnational conservation policies for wetlands and freshwater biodiversity, considering the conservation of entire catchments, stream networks, rivers, and river floodplains. Priority actions should focus on avoiding deforestation and the pollution of waters and sediment by guaranteeing ecohydrological connectivity and the free flow of so far unchanneled and undammed rivers. This can be best achieved through a combination of top-down regulations by similar inclusion of Amazonian residents, and the implementation of community-based, sustainable management practices. © 2026 by John Wiley &amp; Sons, Ltd. All rights reserved.</t>
  </si>
  <si>
    <t>10.1002/9781394307166.ch06</t>
  </si>
  <si>
    <t>Fire; Flood pulse; Igapó; Low-order streams; Palm swamps; Ramsar Convention; Sustainable management várzea; White-sand forest</t>
  </si>
  <si>
    <t>Agricultural economics; Aquatic organisms; Banks (bodies of water); Biodiversity; Conservation; Deforestation; Ecosystems; Fisheries; Floods; Nutrients; River pollution; Rivers; Sustainable development; Wetlands; Flood pulse; Freshwater wetlands; Igapo; Low order; Low-order stream; Palm swamp; Ramsar convention; Sustainable management; Sustainable management varzeum; White-sand forest; Catchments</t>
  </si>
  <si>
    <t>32nd international conference on information system 2011, icis 2011, volume 1</t>
  </si>
  <si>
    <t>downstream impacts of the madeira hydroelectric complex on várzea traditional agriculture and extractivism</t>
  </si>
  <si>
    <t>Lobo G.S.; Gil J.O.; da Silva R.F.B.; Moran E.F.</t>
  </si>
  <si>
    <t>Hydropower development in the Amazon has accelerated under public and private incentives, aiming to promote economic growth, environmental conservation, renewable energy, and social equity within a sustainable development agenda. However, recent studies show significant negative impacts on local communities and ecosystems, raising concerns about hydropower’s true contribution to sustainability. Despite increasing awareness, research has largely overlooked the downstream effects of hydropower dams. Since the Madeira Hydroelectric Complex became operational, it has introduced sub-daily flow oscillations (hydropeaking) in the Madeira River, Southwest Amazon. Although poorly understood, hydropeaking can disrupt the river’s essential flood pulse, which rural riverine communities, known as ribeirinho, depend on for traditional flood recession agriculture and extractivism in the whitewater floodplains (várzea). These communities have long adapted their livelihoods to seasonal flood dynamics, using both low-and high-gradient várzea floodplains, but this downstream flow alteration may be affecting the várzea social-ecological system and must be investigated. To investigate hydropeaking’s effects, we conducted semi-structured interviews with local experts (n = 51) of four downstream ribeirinho communities, along with hydrological and soil analyses. Our findings reveal a shift in agricultural practices, particularly in flood recession agriculture in low-várzea areas. Soil analysis corroborates local experts’ concern about declining fertility, showing reduced phosphorus content following dam operations. Additionally, the extreme 2014 flood and expanding illegal gold mining have further diminished engagement in extractivist activities. A truly sustainable future for the Madeira River depends on revitalizing várzea-based value chains while preserving both ecological integrity and social resilience. We recommend establishing an independent monitoring group composed of ribeirinho communities and local scientists to assess downstream impacts on the várzea social-ecological system. Furthermore, targeted compensation and mitigation projects should be implemented to promote the sustainable use of várzea resources. © 2025 by the author(s).</t>
  </si>
  <si>
    <t>10.5751/ES-16518-300333</t>
  </si>
  <si>
    <t>Amazon; extractivism; flood recession agriculture; hydropeaking; traditional livelihoods</t>
  </si>
  <si>
    <t>Amazonia; Brazil; Madeira River; alternative energy; conservation management; economic growth; environmental economics; environmental management; environmental monitoring; floodplain; future prospect; hydroelectric power plant; livelihood; mitigation; peak flow; policy implementation; resource development; river flow; sustainability; Sustainable Development Goal; traditional agriculture</t>
  </si>
  <si>
    <t>slow tourism and smart community. the case of sulcis - iglesiente (sardinia -italy)</t>
  </si>
  <si>
    <t>Balletto G.; Milesi A.; Battino S.; Borruso G.; Mundula L.</t>
  </si>
  <si>
    <t>In the last few years the term resilience has entered into force in the policies and practices concerning the territorial development. The paper, interpreting the territory through the paradigm of systemic complexity, aim to read the territorial resilience in a dynamic and procedural sense that is as the response to change not simply according to adaptive (passive) modalities, but through a reaction, that is by implementing a “regenerative” response from the territory and, therefore, from its communities. In other words, there is a community resilience that shows itself through the capacity of human groups to resist environmental changes, which involves upheavals not only of a natural, but also of a social nature. It resists, even not restoring the previous balance, but preserving identity through the change and adaptation to new situations. In this framework the aim of the paper is to represent the slow network of the Sulcis Iglesiente area in the Sardinia region - a vulnerable area due to it has been affected by an intense mining activity and more recently hit by flooding events and socio-economic stress - and the role of the smart community in relaunching its touristic image. Here, in fact, started in 2016 a slow tourism experience in the shape of a way practicable on foot, by bicycle or on horseback, that retraces the ancient mining routes of the Sulcis Iglesiente - Guspinese, developing a ring of about 400 km length. © 2019, Springer Nature Switzerland AG.</t>
  </si>
  <si>
    <t>10.1007/978-3-030-24311-1_13</t>
  </si>
  <si>
    <t>Ecological tourism; Slow tourism; Sustainable tourism</t>
  </si>
  <si>
    <t>Sustainable development; Community resiliences; Ecological tourism; Environmental change; Mining activities; Slow tourism; Socio-economics; Sustainable tourism; Territorial development; Smart city</t>
  </si>
  <si>
    <t>evaluating surface stability for sustainable development following cessation of mining exploitation</t>
  </si>
  <si>
    <t>Misa R.; Sroka A.; Mrocheń D.</t>
  </si>
  <si>
    <t>While the cessation of underground mining operations reduces immediate risks to surface structures, it does not fully eliminate long-term surface hazards, which can hinder the sustainable development of post-mining communities. This study presents a combination of analytical and practical methods to quantitatively assess these persistent hazards, focusing on three critical areas: the risk of surface instability from discontinuous phenomena at shallow road headings, the progression of subsidence after mining has ceased, and surface uplift due to rising mine water levels. By providing practical examples, this research highlights the importance of ongoing monitoring and hazard assessment to support sustainable land use in former mining regions. These findings contribute to a broader understanding of post-mining environmental impacts, offering valuable insights into mitigating surface risks that can influence local sustainability efforts. This study supports the global drive toward sustainable development by addressing the long-term effects of resource extraction on land stability and community resilience. © 2025 by the authors.</t>
  </si>
  <si>
    <t>10.3390/su17030878</t>
  </si>
  <si>
    <t>discontinuous deformations; environmental sustainability; mine closure; mine flooding; residual subsidence; surface deformations; sustainable post-mining; uplift</t>
  </si>
  <si>
    <t>exploitation; flooding; hazard assessment; instability; land use; mining; subsidence; sustainable development; uplift</t>
  </si>
  <si>
    <t>stability control of slopes in open-pit mines and resilience methods for disaster prevention in urban areas: a case study of fushun west open pit mine</t>
  </si>
  <si>
    <t>Miao S.; Li F.</t>
  </si>
  <si>
    <t>During the century-long mining process of the Fushun west open pit, slope slippage and deformation caused varying degrees of horizontal deformation, uneven settlement, and ground cracks on the surface of the urban areas, which caused a certain degree of damage to buildings and infrastructure and affected the livings of residents in the surrounding communities. In this study, a set of building reinforcement and community resilience enhancement methods that can resist slope deformation was proposed to improve the ability of urban areas to cope with slope geological hazards and emergency response. The main research contents included: Firstly, this paper systematically analyzed the deformation mechanism of the dip sloping and the inverse dip sloping section of the open pit mine, which was based on the field measured data and simulation calculation results. In other words, the horizontal deformation of the stratum in the dip sloping section was dominant, while the stratum in the inverse dip sloping section was prone to ground cracks and uneven settlement. In view of this, three surface deformation characteristic subdivisions of the surrounding urban area were proposed. In addition, a study on the damage characteristics of buildings with different types of foundations and structures under the influence of side slope deformation were carried out, and the anti-deformation reinforcement measures for load-bearing members mainly based on steel fiber concrete, carbon fiber materials and profile steel were proposed. Finally, a three-level disaster emergency setting system for urban areas around open pit mine was established, and the disaster prevention and resilience enhancement strategy for build and unbuilt the communities around the side slopes was constructed. The study aims to provide technical support to the overall resilience and response of the urban communities adjacent to open-pit mine slopes against consequent geological hazards and emergencies, thereby promoting sustainable urban development. © 2023 IMCET 2023 - Proceedings of the 28th International Mining Congress and Exhibition of Turkey. All rights reserved.</t>
  </si>
  <si>
    <t>deformation-resistant reinforcement; disaster resilience; Open pit slope; solpe deformation; stability control</t>
  </si>
  <si>
    <t>Disaster prevention; Disasters; Fiber reinforced concrete; Manganese mines; Mortar; Urban planning; Deformation-resistant reinforcement; Disaster resiliences; Horizontal deformation; Open pit; Open pit slope; Pit mines; Pit slopes; Solpe deformation; Stability control; Urban areas; Steel fibers</t>
  </si>
  <si>
    <t>peripheral urban territories, disasters and extreme events: the case of morro da boa vista (vila velha, espã­rito santo, brazil)</t>
  </si>
  <si>
    <t>da Silva Rosa T.; de Mendonca M.B.; SebastiÃ£o A.A.; Sathler M.; Souza R.M.; Monteiro T.G.; Costa M.; Simplicio M.A.; Reginensi C.; de Angelo M.; de Angelo V.</t>
  </si>
  <si>
    <t>Located in the Vitoria Metropolitan Region (Brazil), Vila Velha (VV) is the oldest site and the second largest municipality in EspÃ­rito Santo State. Having socioenvironmental problems related to impactful projects (ports, mining and oil industries, real estate) as a result of late development process, there are knowledge gaps related to the urbanization process of risk areas (such as slopes and floodplain areas), contributing to the construction of socioenvironmental vulnerable communities. Based on interviews conducted in 2015â€“2016 with people who have experienced the occupation process and the increase of geohydrological problems, this study aims at understanding their perceptions of the land use process and socioenvironmental risks as well as their adaptation strategies. These territories are under risk related to floods or mass movements (for instance those in December 2013 and January 2016) and also health problems, showing their weakness to weather extreme events; and dwellers compelled to adopt spontaneous adaptation strategies to face these problems. This study is part of an interdisciplinary research project titled as â€œUnderstanding socio-environmental vulnerability construction in modern urban contexts: The case of Vila Velha (ES)â€, funded by the National Research Council for Scientific and Technological Development (CNPq) and VV University. Â© 2018, Springer International Publishing AG.</t>
  </si>
  <si>
    <t>10.1007/978-3-319-56946-8_16</t>
  </si>
  <si>
    <t>Disaster; Extreme events-Vila Velha; Peripheral territories; Vulnerability</t>
  </si>
  <si>
    <t>a data mining approach for exploring correlates of self-reported comparative physical activity levels of urban latinos</t>
  </si>
  <si>
    <t>Yoon S.; Co M.C., Jr.; Suero-Tejeda N.; Bakken S.</t>
  </si>
  <si>
    <t>We applied data mining techniques to a community-based behavioral dataset to build prediction models to gain insights about physical activity levels as the foundation for future interventions for urban Latinos. Our application of data mining strategies identified environment factors including having a convenient location for physical activity and psychological factors including depression as the strongest correlates of self-reported comparative physical activity among hundreds of variables. The data mining methods were useful to build prediction models to gain insights about perceptions of physical activity behavior as compared to peers. © 2016 IMIA and IOS Press.</t>
  </si>
  <si>
    <t>10.3233/978-1-61499-658-3-553</t>
  </si>
  <si>
    <t>Classification; Feature selection; Motivation; Physical activity</t>
  </si>
  <si>
    <t>Adult; Aged; Data Mining; Databases, Factual; Depression; Exercise; Female; Health Behavior; Hispanic Americans; Humans; Male; Middle Aged; New York; Prevalence; Risk Factors; Risk Reduction Behavior; Sedentary Lifestyle; Self Report; Surveys and Questionnaires; United States; Urban Population; Young Adult; Classification (of information); Feature extraction; Motivation; Nursing; Community-based; Data mining methods; Environment factors; Gain insight; Physical activity; Physical activity levels; Prediction model; Psychological factors; classification; data mining; human; human experiment; model; motivation; perception; physical activity; prediction; psychological aspect; adult; aged; data mining; depression; ethnology; exercise; factual database; female; health behavior; Hispanic; male; middle aged; New York; prevalence; procedures; questionnaire; risk factor; risk reduction; sedentary lifestyle; self report; statistics and numerical data; United States; urban population; young adult; Data mining</t>
  </si>
  <si>
    <t>community resilience assessment and literature analysis</t>
  </si>
  <si>
    <t>Weiner J.M.; Walsh J.J., Jr</t>
  </si>
  <si>
    <t xml:space="preserve">Earlier and current disaster-related research emphasised the sociological/behavioural perspective. This led to a significant amount of literature devoted to descriptive context of natural, man-made and technological disasters and sequelae. This paper considers a next step involving a more expanded approach in research methodology. The phases include: (1) the development of a comprehensive database of ideas provided by authors of scholarly and scientific papers; (2) the development of computer-supported algorithms to prepare an array of scenarios representing relationships, gaps and inconsistencies in existing knowledge; (3) a process for evaluating the scenarios to determine a feasible and interesting next research strategy or programmatic action that will provide enhanced description of the problems as well as possible insights to their correction by interventions. The intent is to develop interventions as an essential component for better prevention, mitigation, rehabilitation, reconstruction and problem-solving affected by disaster events. To illustrate this approach, community resilience, a relatively new and important idea was studied. The phrase was used to describe relationships and omissions. The ideas associated with this central idea were considered in the building of a new instrument for evaluation of community vulnerability and readiness. This methodology addresses the time constraints realised by practitioners and investigators. The methods should eliminate tedious, clerical functions and focus on the intellectual functions representing optimal use of human energy. </t>
  </si>
  <si>
    <t>Data Mining; Data Mining; Disaster Planning; Disaster Planning; Humans; Humans; Residence Characteristics; Residence Characteristics; data mining; demography; disaster planning; human</t>
  </si>
  <si>
    <t>32nd international conference on information system 2011, icis 2011, volume 4</t>
  </si>
  <si>
    <t>vertically integrated projects as a transformative pedagogy for green hydrogen study abroad programs</t>
  </si>
  <si>
    <t>Bauserman S.F.; Ortiz J.N.; Saravia J.C.R.; Sheffield J.W.; Mereu M.J.</t>
  </si>
  <si>
    <t>The introduction of transformative pedagogy provides for active learning in the incentivized, faculty-led, study abroad programs focused on green hydrogen projects. These study abroad programs utilize Purdue's Hydrogen Learning HUB, which is comprised of the Vertically Integrated Projects, Collaborative Online International Learning, Hub of Intercultural Learning, and Strategic Doing educational programs. Two faculty-led study abroad programs have been developed, one in Peru during Spring Break and one in Europe during a 4-week summer term. The Peruvian program is focused on two open-pit mines, the Falchani Lithium and the Quellaveco Copper projects, for green hydrogen technology integration into the mining operations. American Lithium Corporation is developing the Falchani mine located in the Andes Mountains. The Falchani mine is the world's sixth-largest hard rock lithium deposit. The Quellaveco mine, which is being developed by Anglo American Perú, in partnership with the Mitsubishi Corporation, is one of the world's largest copper deposits. The summer study abroad focuses on remote island communities, such as the Orkney Islands, as an ideal candidate for evaluation of green hydrogen technology integration into remote communities on islands. Currently, the community-based renewable energy systems on the Orkney Islands generate more than 130% of the electric energy consumed. © 2022 Proceedings of WHEC 2022 - 23rd World Hydrogen Energy Conference: Bridging Continents by H2. All rights reserved.</t>
  </si>
  <si>
    <t>Green hydrogen; Transformative pedagogy; Vertically integrated projects</t>
  </si>
  <si>
    <t>Copper deposits; Deposits; Open pit mining; Renewable energy resources; Active Learning; Educational program; Green hydrogen; Hydrogen technologies; Integrated programs; Intercultural learning; Study abroad; Technology Integration; Transformative pedagogy; Vertically integrated project; Lithium</t>
  </si>
  <si>
    <t>unfulfilled promises of the consultation approach: the limits to effective indigenous participation in bolivia’s and peru’s extractive industries</t>
  </si>
  <si>
    <t>Flemmer R.; Schilling‐Vacaflor A.</t>
  </si>
  <si>
    <t>Indigenous peoples’ right to prior consultation and to informed consent represents the basis of the new global model shaping state–indigenous relations. Consultation processes promise to enable indigenous people to determine their own development and are especially promoted when extraction projects with significant socio-environmental impacts are planned on indigenous lands. In this article we draw on debates on participatory development in order to analyse the first state-led consultations in Bolivia’s and Peru’s hydrocarbon sectors (2007–14). The analysis shows that effective participation has been limited by (1) an absence of indigenous ownership of the processes; (2) indigenous groups’ difficulties defending or even articulating their own visions and demands; and (3) limited or very general outcomes. The study identifies real-life challenges, such as power asymmetries, a ‘communication hurdle’ and appropriate timing – as well as simplistic assumptions underlying the consultation approach – that account for the unfulfilled promises of this new model. © 2016 Southseries Inc., www.thirdworldquarterly.com.</t>
  </si>
  <si>
    <t>10.1080/01436597.2015.1092867</t>
  </si>
  <si>
    <t>Bolivia; extractive industry; free, prior and informed consent (FPIC); indigenous people; participatory development; Peru; Prior consultation</t>
  </si>
  <si>
    <t>Bolivia; Peru; decision making; human rights; indigenous population; local participation; ownership; participatory approach</t>
  </si>
  <si>
    <t>student research abstract: unsupervised key term extraction of tornado narratives from noaa storm events database</t>
  </si>
  <si>
    <t>McDaniel E.L.</t>
  </si>
  <si>
    <t>Disaster records are often composed of key metrics of the disaster event and its monetary cost. While the cost of the event is helpful for insurance adjustments, the monetary impact of a disaster is not conducive for disaster preparedness planners to build community resilience. Often, there are natural language narratives about the disaster event, like in the National Oceanic and Atmospheric Administration (NOAA) Storm Events Database, that contain essential information but are not easily retrievable because of their unstructured nature. These narratives need to be text mined in order to retrieve the impacts of the disasters in order to structure the data for further use. The method proposed in this abstract is a critical first step in the process. It is an unsupervised key term extraction method using sentence transformers to create embeddings that are then clustered, and assigned key terms by utilizing the highest term frequency-inverse document frequency (tf-idf) scores for the sentences in the narratives.  © 2023 Owner/Author(s).</t>
  </si>
  <si>
    <t>10.1145/3555776.3577211</t>
  </si>
  <si>
    <t>disaster informatics; extraction; informational retrieval; transformers; unsupervised methods</t>
  </si>
  <si>
    <t>Abstracting; Data mining; Disaster prevention; Disasters; Storms; Text processing; Disaster informatic; Informatics; Informational retrieval; Key term extraction; Monetary costs; National Oceanic and Atmospheric Administration; Storm events; Student research; Transformer; Unsupervised method; Extraction</t>
  </si>
  <si>
    <t>modeling, visualizing, and mining hydrologic spatial hierarchies for water quality management</t>
  </si>
  <si>
    <t>McGuire M.P.; Gangopadhyay A.</t>
  </si>
  <si>
    <t>Water quality managers analyze data collected in the field to assess environmental conditions and enact policy based on water quality impairments identified in this analysis. Water quality is often based on measures of water chemistry and the health of biological communities. There are many factors spread across the landscape that contribute to water quality. This adds a spatial dimension to the problem. Furthermore, data are often analyzed based on aggregations of site level data to multiple hierarchies of watersheds. This paper presents a multidimensional data model which incorporates hydrological spatial hierarchies for the purpose of analyzing water quality data at multiple resolutions. The data model was implemented in a relational database management system and linked with a geographic information system to provide visual exploration of data across multiple levels within the spatial hierarchy. Data mining techniques such as classification and association rule generation were applied to data at multiple levels of the hydrologic spatial hierarchy. Classification was applied to predict the health of fish communities based on site habitat characteristics and measures of water chemistry. Association rules were developed to determine relationships between site characteristic and water quality variables and fish community health. The results of the classification and association rules were then compared across two levels of the hydrographic spatial hierarchy.</t>
  </si>
  <si>
    <t>Association rules; Database systems; Fish; Geographic information systems; Hydrochemistry; Information retrieval; Information science; Models; Photogrammetry; Remote sensing; Water conservation; Water management; Water supply; Biological community; Data mining techniques; Environmental conditions; Fish communities; Multidimensional data models; Multiple levels; Multiple resolutions; Quality managers; Relational database management systems; Site characteristics; Spatial dimension; Spatial hierarchy; Visual exploration; Water chemistry; Water quality data; Water quality impairment; Water quality</t>
  </si>
  <si>
    <t>heavy metals: confounding factors in the response of new zealand freshwater fish assemblages to natural and anthropogenic acidity</t>
  </si>
  <si>
    <t>Greig H.S.; Niyogi D.K.; Hogsden K.L.; Jellyman P.G.; Harding J.S.</t>
  </si>
  <si>
    <t>Acidification of freshwaters is a global phenomenon, occurring both through natural leaching of organic acids and through human activities from industrial emissions and mining. The West Coast of the South Island, New Zealand, has both naturally acidic and acid mine drainage (AMD) streams enabling us to investigate the response of fish communities to a gradient of acidity in the presence and absence of additional stressors such as elevated concentrations of heavy metals. We surveyed a total of 42 streams ranging from highly acidic (pH 3.1) and high in heavy metals (10mgL-1 Fe; 38mgL-1 Al) to circum-neutral (pH 8.1) and low in metals (0.02mgL-1 Fe; 0.05mgL-1 Al). Marked differences in pH and metal tolerances were observed among the 15 species that we recorded. Five Galaxias species, Anguilla dieffenbachii and Anguilla australis were found in more acidic waters (pH&lt;5), while bluegill bullies (Gobiomorphus hubbsi) and torrentfish (Cheimarrichthys fosteri) were least tolerant of low pH (minimum pH 6.2 and 5.5, respectively). Surprisingly, the strongest physicochemical predictor of fish diversity, density and biomass was dissolved metal concentrations (Fe, Al, Zn, Mn and Ni) rather than pH. No fish were detected in streams with dissolved metal concentrations &gt;2.7mgL-1 and nine taxa were only found in streams with metal concentrations &lt;1mgL1. The importance of heavy metals as critical drivers of fish communities has not been previously reported in New Zealand, although the mechanism of the metal effects warrants further study. Our findings indicate that any remediation of AMD streams which seeks to enable fish recolonisation should aim to improve water quality by raising pH above ~4.5 and reducing concentrations of dissolved Al and Fe to &lt;1.0mgL-1. © 2010 Elsevier B.V.</t>
  </si>
  <si>
    <t>10.1016/j.scitotenv.2010.04.006</t>
  </si>
  <si>
    <t>Acidification; AMD; Local adaptation; Multiple stressors; Toxicity; Trace metals</t>
  </si>
  <si>
    <t>Acids; Animals; Confounding Factors (Epidemiology); Fresh Water; Hydrogen-Ion Concentration; Metals, Heavy; Water Pollutants, Chemical; New Zealand; South Island; West Coast [South Island]; Anguilla australis; Anguilla dieffenbachii; Cheimarrichthys fosteri; Galaxias; Gobiomorphus hubbsi; Lepomis macrochirus; Philypnodon; Aluminum; Concentration (process); Dissolution; Fish; Heavy metals; Industrial emissions; Leaching; Manganese; Manganese compounds; Metals; Organic acids; Toxicity; Trace analysis; Water pollution; Water quality; Zinc; aluminum; heavy metal; iron; manganese; nickel; zinc; acid; fresh water; heavy metal; water pollutant; Acid mine drainage; Acidic water; AMD; Dissolved metal concentrations; Elevated concentrations; Fish communities; Fresh Water; Freshwater fishes; Human activities; Local adaptation; Metal concentrations; Metal tolerance; Multiple stressors; Natural leaching; New zealand; South Island , New Zealand; Trace metal; West coast; acid mine drainage; acidification; acidity; community response; fish; freshwater; heavy metal; industrial emission; local adaptation; pH; pollution tolerance; remediation; trace metal; water quality; acid mine drainage; acidification; acidity; Anguilla australis; Anguilla dieffenbachii; article; biomass; Cheimarrichthys fosteri; community structure; concentration (parameters); concentration response; controlled study; density gradient; eel; environmental impact assessment; freshwater environment; freshwater fish; Galaxias; Gobiomorphus hubbsi; metal tolerance; New Zealand; nonhuman; pH measurement; physical chemistry; priority journal; sensitivity analysis; species difference; species diversity; water contamination; analysis; animal; epidemiology; pH; water pollutant; Trace elements</t>
  </si>
  <si>
    <t>adult asthma associated with roadway density and housing in rural appalachia: the mountain air project (map)</t>
  </si>
  <si>
    <t>Christian W.J.; Flunker J.; May B.; Westneat S.; Sanderson W.T.; Schoenberg N.; Browning S.R.</t>
  </si>
  <si>
    <t>Background: Appalachian Kentucky is a rural area with a high prevalence of asthma among adults. The relative contribution of environmental exposures in the etiology of adult asthma in these populations has been understudied. Objective: This manuscript describes the aims, study design, methods, and characteristics of participants for the Mountain Air Project (MAP), and focuses on associations between small area environmental exposures, including roadways and mining operations, and lifetime and current asthma in adults. Methods: A cohort of residents, aged 21 and older, in two Kentucky counties, was enrolled in a community-based, cross-sectional study. Stratified cluster sampling was used to select small geographic areas denoted as 14-digit USGS hydrologic units (HUCs). Households were enumerated within selected HUCs. Community health workers collected in-person interviews. The proximity of nearby active and inactive coal mining operations, density of oil and gas operations, and density of roadways were characterized for all HUCs. Poisson regression analyses were used to estimate adjusted prevalence ratios. Results: From 1,459 eligible households contacted, 1,190 individuals were recruited, and 972 persons completed the interviews. The prevalence of lifetime asthma was 22.8%; current asthma was 16.3%. Adjusting for covariates, roadway density was positively associated with current asthma in the second (aPR = 1.61; 95% CI 1.04–2.48) and third tertiles (aPR = 2.00; 95% CI 1.32–3.03). Increased risk of current asthma was associated with residence in public, multi-unit housing (aPR = 2.01; 95% CI 1.27–3.18) compared to a residence in a single-family home. There were no notable associations between proximity to coal mining and oil and gas operations and asthma prevalence. Conclusions: This study suggests that residents in rural areas with higher roadway density and those residing in public housing units may be at increased risk for current asthma after accounting for other known risk factors. Confirming the role of traffic-related particulates in producing high asthma risk among adults in this study contributes to the understanding of the multiple environmental exposures that influence respiratory health in the Appalachia region. © 2023, The Author(s).</t>
  </si>
  <si>
    <t>10.1186/s12940-023-00984-x</t>
  </si>
  <si>
    <t>Adult; Appalachia; Asthma; Epidemiology; Mining</t>
  </si>
  <si>
    <t>Adult; Appalachian Region; Asthma; Cross-Sectional Studies; Environmental Exposure; Humans; Public Housing; Appalachians; Kentucky; United States; adult; asthma; coal mining; epidemiology; pollution exposure; risk factor; road traffic; rural area; adult; Article; asthma; coal mining; cohort analysis; controlled study; cross-sectional study; environmental exposure; female; geographic information system; highway; home; household; housing; human; Kentucky; male; oil industry; Poisson regression; prevalence; rural area; adverse event; asthma; housing; United States</t>
  </si>
  <si>
    <t>hiv preventive behaviors and associated factors among gold mining workers in dima district, southwest ethiopia, 2019: community-based cross-sectional study</t>
  </si>
  <si>
    <t>Nigussie T.; Mamo Y.; Qanche Q.; Yosef T.; Wondimu W.; Asefa A.</t>
  </si>
  <si>
    <t>Background. HIV/AIDS is becoming more prevalent over time, resulting in a considerable number of deaths. In 2017, 36.9 million (35.1 million adults) people worldwide were living with HIV, 1.8 million people were newly infected with HIV, and 940 000 people died from AIDS-related illnesses. Mining workers are at a high risk of contracting HIV and infecting others, and effective prevention is a critical. Objective. To assess HIV preventive behaviors and associated factors among gold mining workers in Dima district, southwest Ethiopia, 2019. Methods and Materials. A community-based cross-sectional study was conducted from November 1st to 30th, 2019. A convenience sampling technique was used to get mining workers for the interview.The data were collected through face-to-face interviews. The collected data were coded and entered into EpiData version 4.2.0.101, cleaned, and analyzed using SPSS version 21 statistical software. A binary logistic regression was conducted to determine the association using odds ratios at 95% confidence intervals. A P value of less than 0.05 considered the level of significance for HIV preventive behaviors. Results. From a total of 455 mining worker, 279 (61.3%) of them have good practices of HIV prevention. Factors associated with good preventive practice were not alcohol drinkers (AOR=2.86, 95% CI: 1.30-6.29), not chew khat (AOR=2.09, 95% CI: 1.09-4.02), having good knowledge about HIV (AOR=1.81, CI: 1.16-2.83), favorable attitude towards HIV prevention (AOR=4.76, 95% CI: 3.02-7.49), and high perceived susceptibility to HIV (AOR=2.63, 95% CI: 1.63-4.24). Conclusion. Only about 61% of the mining workers in the study area were practiced HIV preventive behaviors. Not alcohol drinkers, having good knowledge about HIV, having a favorable attitude toward HIV prevention, and having high perceived susceptibility to HIV were factors associated with the practice of HIV preventive behaviors. Efforts have to be made by local governments and other concerned bodies to increase preventive behavior. © 2021 Tadesse Nigussie et al.</t>
  </si>
  <si>
    <t>10.1155/2021/4797590</t>
  </si>
  <si>
    <t>Adult; Cross-Sectional Studies; Ethiopia; Health Knowledge, Attitudes, Practice; HIV Infections; HIV-1; Humans; Logistic Models; Male; Miners; Odds Ratio; Risk Factors; Risk Reduction Behavior; Surveys and Questionnaires; Young Adult; adult; article; controlled study; convenience sample; cross-sectional study; data analysis software; Ethiopia; female; gold mining; government; human; Human immunodeficiency virus 1; Human immunodeficiency virus infected patient; interview; major clinical study; male; nonhuman; people by drinking status; worker; attitude to health; cross-sectional study; epidemiology; Ethiopia; Human immunodeficiency virus 1; Human immunodeficiency virus infection; miner; odds ratio; pathogenicity; psychology; questionnaire; risk factor; risk reduction; statistical model; young adult</t>
  </si>
  <si>
    <t>advancing athens’ circular economy: sewer mining for urban water reclamation</t>
  </si>
  <si>
    <t>Monokrousou K.; Makropoulos C.; Katsouras G.; Tsalas N.; Samios S.; Lytras E.; Tsimnadis K.</t>
  </si>
  <si>
    <t>Water scarcity is recognised as a crucial issue worldwide, particularly prevalent in semi-arid regions of Southern Europe. The escalating human demand for irrigation, drinking, recreation, and other essential social needs, increasingly outstrips the available supply. The impact of climate change on hydrological cycles exacerbates this issue as well. In this context, innovative water reuse technologies that turn waste into a valuable resource have garnered increasing attention in recent years. These technologies not only enhance the circularity of urban environments but also booster community resilience and facilitate a sustainable transition to adapt to projected climate change. Sewer mining, a pioneering wastewater recycling technology, is gradually increasing in popularity thanks to its efficiency in treatment and minimal space requirements for installation. This innovative technology produces treated water from sewerage extracted from the local sewers and reuses it at the point of demand. The current research has investigated the implementation of this technology in a real world environment, at the City of Athens, Greece, over the past three years and has optimised its operational procedures and efficiency. This study conclusively demonstrates that sewer mining indeed stands as a viable solution for water reuse, particularly in densely urbanized areas with limited space and susceptibility to drought. By integrating sewer mining alongside freshwater conservation efforts, cities can effectively increase their urban green spaces, mitigating the adverse effects of urban heat islands and heatwaves. Additionally, such solutions alleviate pressures on existing sewage treatment facilities. Therefore, leveraging the latent potential of sewage as a valuable resource hidden beneath city streets emerges as a recommended strategy for enhancing urban resilience against climate change. © 2024 Informa UK Limited, trading as Taylor &amp; Francis Group.</t>
  </si>
  <si>
    <t>Athens [Attica]; Attica; Greece; circular economy; mining; sewer network; urban area; waste management; water management; water supply</t>
  </si>
  <si>
    <t>exploring the impacts of anthropogenic disturbance on seawater and sediment microbial communities in korean coastal waters using metagenomics analysis</t>
  </si>
  <si>
    <t>Won N.-I.; Kim K.-H.; Kang J.H.; Park S.R.; Lee H.J.</t>
  </si>
  <si>
    <t>The coastal ecosystems are considered as one of the most dynamic and vulnerable environments under various anthropogenic developments and the effects of climate change. Variations in the composition and diversity of microbial communities may be a good indicator for determining whether the marine ecosystems are affected by complex forcing stressors. DNA sequence-based metagenomics has recently emerged as a promising tool for analyzing the structure and diversity of microbial communities based on environmental DNA (eDNA). However, few studies have so far been performed using this approach to assess the impacts of human activities on the microbial communities in marine systems. In this study, using metagenomic DNA sequencing (16S ribosomal RNA gene), we analyzed and compared seawater and sediment communities between sand mining and control (natural) sites in southern coastal waters of Korea to assess whether anthropogenic activities have significantly affected the microbial communities. The sand mining sites harbored considerably lower levels of microbial diversities in the surface seawater community during spring compared with control sites. Moreover, the sand mining areas had distinct microbial taxonomic group compositions, particularly during spring season. The microbial groups detected solely in the sediment load/dredging areas (e.g., Marinobacter, Alcanivorax, Novosphingobium) are known to be involved in degradation of toxic chemicals such as hydrocarbon, oil, and aromatic compounds, and they also contain potential pathogens. This study highlights the versatility of metagenomics in monitoring and diagnosing the impacts of human disturbance on the environmental health of marine ecosystems from eDNA. © 2017 by the authors.</t>
  </si>
  <si>
    <t>10.3390/ijerph14020130</t>
  </si>
  <si>
    <t>Coastal ecosystem; Environmental DNA; Metagenomics; Microbial community; Operational taxonomic unit (OTU); Sand mining</t>
  </si>
  <si>
    <t>Bacteria; Climate Change; Ecosystem; Environmental Monitoring; Geologic Sediments; Human Activities; Humans; Metagenomics; Republic of Korea; RNA, Ribosomal, 16S; Seawater; Sequence Analysis, DNA; Korea; Alcanivorax; Marinobacter; Novosphingobium; aromatic compound; hydrocarbon; oil; RNA 16S; sea water; toxic substance; sea water; anthropogenic effect; coastal zone; disturbance; genomics; meta-analysis; microbial activity; microbial community; mining; Alcanivorax; Alphaproteobacteria; Article; autumn; coastal waters; community structure; comparative study; controlled study; DNA sequence; environmental exploitation; environmental health; human impact (environment); Korea; Marinobacter; metagenomics; microbial community; microbial degradation; microbial diversity; next generation sequencing; nonhuman; Novosphingobium; sand mining; sea surface waters; seasonal variation; sediment; species composition; spring; taxonomy; water sampling; bacterium; climate change; ecosystem; environmental monitoring; genetics; human; human activities; metagenomics; microbiology; sediment; South Korea</t>
  </si>
  <si>
    <t>community-based land use models for sustainable livelihoods in merapi volcano disaster prone areas iii in sleman regency</t>
  </si>
  <si>
    <t>Krisanti M.W.W.; Paripurno E.T.; Nugroho A.R.B.; Maharani Y.N.; Prasetya J.D.</t>
  </si>
  <si>
    <t>Merapi Volcano is one of the active volcanoes in Indonesia. The disaster-prone areas of Merapi Volcano are divided into three levels, namely disaster-prone areas I, II, and III. Level III area being the highest risk area. Disaster-prone area III of Merapi Volcano is a place for people's daily activities to manage their livelihood assets such as farming and gardening, livestock, sand mining, and tourism. This study aims to analyze land use in disaster-prone areas III of Merapi Volcano, find the relationship between land use and community preparedness, and find a model of sustainable land use in disaster-prone areas based on the community. The research method uses qualitative methods with participatory rural appraisal techniques. The research was conducted in villages located in disaster-prone areas III of Merapi Volcano which are included in the Sleman Regency area. The results of the research are finding the land use models based on spatial and temporal considerations and a community-based land use model at the micro to macro level in disaster-prone areas III. This research can be input for policy makers, institutions working in the field of disaster, further research, and for the wider community in carrying out land use in disaster-prone areas. © 2024 Institute of Physics Publishing. All rights reserved.</t>
  </si>
  <si>
    <t>10.1088/1755-1315/1314/1/012048</t>
  </si>
  <si>
    <t>alpha and beta diversities of hydrothermal vent macrofaunal communities along the southwestern pacific back-arc basins</t>
  </si>
  <si>
    <t>Poitrimol C.; Thiébaut É.; Boulart C.; Cathalot C.; Rouxel O.; Jollivet D.; Hourdez S.; Matabos M.</t>
  </si>
  <si>
    <t>Ecosystems face various pressures, often leading to loss of biodiversity. Understanding how biodiversity is spatially structured, what are the driving factors, and the ecological and evolutionary processes involved is essential to assess communities' resilience to disturbances and guide efficient conservation measures. Hydrothermal vents from national waters of the West Pacific are targeted by mining industries for their mineral resources that include metals used in high-tech equipment. Although exploitation has not yet started, such activity could significantly affect ecosystem biodiversity and functioning. Here, we describe the distribution of hydrothermal biodiversity in the Southwest Pacific back-arc basins and the Futuna Volcanic Arc at different spatial scales in relation to environmental conditions and geography. We focused on three assemblages dominated by symbiotic megafauna: snails (Alviniconcha spp. and Ifremeria nautilei) and mussels (Bathymodiolus spp.). Faunal assemblages exhibit strong spatial structuring: between habitats along the dilution gradient of the hydrothermal fluid, and between geographic basins, with a faunal split between the Western and the Eastern basins of this region, and to a lesser extent, between fields in a basin. Species replacement along the chemical gradient drives faunal changes between Ifremeria and Bathymodiolus assemblages, while a drop in the number of species is noted when making this comparison with the Alviniconcha assemblage. While these local changes may result from environmental filtering along the diffuse flow gradient, geological settings and current geographic barriers, which drive colonization and speciation at larger scales, are likely shaping the vent community changes between the Eastern and Western basins. This result has significant implications for biodiversity conservation, especially in this mineral-rich setting. The Manus Basin is isolated and displays the highest proportion of endemism while the Woodlark Basin represents an important stepping-stone between the Eastern basins and Manus Basin, making them potentially highly vulnerable to mining with a risk of biodiversity loss. © 2025 The Authors</t>
  </si>
  <si>
    <t>10.1016/j.scitotenv.2025.178694</t>
  </si>
  <si>
    <t>Alviniconcha; Bathymodiolus; Biodiversity partitioning; Biogeography; Community composition; Ifremeria; Vent chemistry</t>
  </si>
  <si>
    <t>Animals; Biodiversity; Ecosystem; Environmental Monitoring; Hydrothermal Vents; Mytilidae; Pacific Ocean; Snails; Bismarck Sea; Coral Sea; Manus Basin; Pacific Ocean; Solomon Sea; Woodlark Basin; Biogeochemistry; Invertebrates; Mining equipment; iron; manganese; methane; sulfate; Alviniconcha; Back-arc basin; Bathymodiolus; Biodiversity partitioning; Biogeography; Community composition; Eastern basins; Hydrothermal vent; Ifremerium; Vent chemistry; backarc basin; biodiversity; colonization; community composition; endemism; habitat structure; hydrothermal fluid; hydrothermal vent; mollusc; snail; speciation (biology); volcanic arc; Article; Bathymodiolus; biodiversity; biogeographic region; hydrothermal vent; hydrothermal vent species; Ifremeria; inductively coupled plasma mass spectrometry; macrofauna; nonhuman; pH; physical chemistry; redundancy analysis; Shannon index; species richness; temperature; time series analysis; water sampling; animal; ecosystem; environmental monitoring; Mytilidae; Pacific Ocean; snail; Molluscs</t>
  </si>
  <si>
    <t>icst ugm 2023 - 4th geoscience and environmental management symposium</t>
  </si>
  <si>
    <t>The proceedings contain 76 papers. The topics discussed include: urban mining from a circularity perspective; earthquake statistical performance due to increasing of the seismic network around Opak Fault, Yogyakarta; effect of breakwater layout on waves at Puger beach Jember with Delft3D modeling; evaluation of inclined piles due to driving in soft soil; integrating gender mainstreaming in disaster risk reduction through providing geospatial information to create community resilience in Muntuk Village, Bantul Regency; site analysis using microtremor array for disaster mitigation of landslide in the Cianjur Aquatic Resort; VEVCC program for concatenation of volcanic events based on cross-correlation analysis; designing excavation method and support system of Bintang Bano irrigation tunnel, Sumbawa Barat, Nusa Tenggara Barat based on rock mass rating (RMR); and empirical analyses of the excavating method and support system based on engineering geology of the Rukoh Dam Suppletion Tunnel, Pidie Regency, Aceh Province, Indonesia.</t>
  </si>
  <si>
    <t>the socio-environmental observatory: an information platform for transparency, participatory governance, and environmental justice in the sonora river basin, mexico</t>
  </si>
  <si>
    <t>Robles-Morua A.; Avila-Chauvet L.; Díaz-Caravantes R.E.; Vizuete-Jaramillo E.; Lutz-Ley A.; Duarte-Tagles H.; Franco-Garza L.; Velarde P.</t>
  </si>
  <si>
    <t>As the transparency of information decreases, issues associated with governance become more pronounced, including obstacles to achieving environmental justice, reductions in social welfare, and increasing misinformation that affects decision-making processes. This is particularly critical in regions such as Mexico, where weak information systems and the progressive dismantling of autonomous institutions have undermined mechanisms for access to information and accountability. This article aims to describe the socio-environmental observatory information platform, developed in 2022, as an alternative approach for promoting transparency and access to information, thereby strengthening institutional governance as a pathway toward environmental justice. The framework was initially developed collaboratively by researchers and civil society organizations in response to the 2014 mining spill at the Sonora River Basin by the Buenavista del Cobre mine, one of the most severe environmental disasters in Mexico’s recent history. The article aims to: (a) describe the strategies used for the creation of the observatory and the co-production of knowledge; (b) examine how this framework could address common challenges faced by citizen and environmental observatories; (c) detail the technical and digital tools developed, such as open-source software, digital repositories, and interactive data representations; and (d) analyze how information has been disseminated to affected communities through festivals, public meetings, educational workshops, among others, emphasizing how local actors have adopted and integrated these resources into their environmental justice efforts. This information platform illustrates the potential of such initiatives to drive systemic change in regions affected by governance and environmental challenges, ultimately contributing to sustainable development by promoting more inclusive and participatory decision-making processes. © The Author(s), under exclusive licence to Springer Nature Singapore Pte Ltd. 2025.</t>
  </si>
  <si>
    <t>10.1007/s42532-025-00226-z</t>
  </si>
  <si>
    <t>Citizen science; Environmental observatories; Governance; Interactive education tools; Transparency</t>
  </si>
  <si>
    <t>Mexico [North America]; Sonora; Sonora Basin; decision making; educational development; environmental justice; governance approach; participatory approach</t>
  </si>
  <si>
    <t>air concentrations of volatile compounds near oil and gas production: a community-based exploratory study</t>
  </si>
  <si>
    <t>Macey G.P.; Breech R.; Chernaik M.; Cox C.; Larson D.; Thomas D.; Carpenter D.O.</t>
  </si>
  <si>
    <t>Background: Horizontal drilling, hydraulic fracturing, and other drilling and well stimulation technologies are now used widely in the United States and increasingly in other countries. They enable increases in oil and gas production, but there has been inadequate attention to human health impacts. Air quality near oil and gas operations is an underexplored human health concern for five reasons: (1) prior focus on threats to water quality; (2) an evolving understanding of contributions of certain oil and gas production processes to air quality; (3) limited state air quality monitoring networks; (4) significant variability in air emissions and concentrations; and (5) air quality research that misses impacts important to residents. Preliminary research suggests that volatile compounds, including hazardous air pollutants, are of potential concern. This study differs from prior research in its use of a community-based process to identify sampling locations. Through this approach, we determine concentrations of volatile compounds in air near operations that reflect community concerns and point to the need for more fine-grained and frequent monitoring at points along the production life cycle. Methods: Grab and passive air samples were collected by trained volunteers at locations identified through systematic observation of industrial operations and air impacts over the course of resident daily routines. A total of 75 volatile organics were measured using EPA Method TO-15 or TO-3 by gas chromatography/mass spectrometry. Formaldehyde levels were determined using UMEx 100 Passive Samplers. Results: Levels of eight volatile chemicals exceeded federal guidelines under several operational circumstances. Benzene, formaldehyde, and hydrogen sulfide were the most common compounds to exceed acute and other health-based risk levels. Conclusions: Air concentrations of potentially dangerous compounds and chemical mixtures are frequently present near oil and gas production sites. Community-based research can provide an important supplement to state air quality monitoring programs. © 2014 Macey et al.</t>
  </si>
  <si>
    <t>10.1186/1476-069X-13-82</t>
  </si>
  <si>
    <t>Benzene; Community monitoring; Formaldehyde; Grab and passive samples; Hydraulic fracturing; Hydrogen sulfide; Oil and gas</t>
  </si>
  <si>
    <t>Air Pollutants; Community-Based Participatory Research; Environmental Monitoring; Extraction and Processing Industry; Gas Chromatography-Mass Spectrometry; Oil and Gas Fields; United States; Volatile Organic Compounds; United States; benzene; hydrogen sulfide; natural gas; oil; volatile agent; air pollutant; volatile organic compound; air quality; air sampling; atmospheric pollution; benzene; concentration (composition); environmental monitoring; formaldehyde; gas production; health impact; health risk; hydraulic fracturing; hydrogen sulfide; oil production; public health; volatile organic compound; water quality; air monitoring; air pollutant; air quality; air sampling; Article; community; concentration (parameters); equipment design; exploratory research; mass fragmentography; priority journal; United States; air pollutant; analysis; environmental monitoring; mining; oil and gas field; participatory research</t>
  </si>
  <si>
    <t>socio-environmental conflict over abandoned mining waste in copaquilla, chile</t>
  </si>
  <si>
    <t>Quispe-Jofré A.; Philimon P.P.; Alfaro-Lira S.</t>
  </si>
  <si>
    <t>The material discarded by past mining extractive activities is exposed to the action of different environmental agents and constitutes the beginning of a problem that, inevitably, involves the population and the conditions of the environment where it is deposited. Bearing this in mind, a study of the Copaquilla-Chile valley was carried out with a focus on the socio-environmental conflict produced by the accumulation of abandoned mining waste in its vicinity. The objectives were to identify the role of the different actors and the main causes that originated the conflict and to characterize the physical-natural factors that conditioned the susceptibility and physical vulnerability of the studied environment. The methodological approach combined a set of qualitative and quantitative techniques, using participatory action research techniques (PAR) and multi-criteria evaluation models (MCE) through a geographic information system (GIS). The evaluation of the study area revealed quite severe levels in terms of the indices of susceptibility to processes of mass removal and vulnerability of the aquifer, which led us to infer that the morpho-climatic and hydrogeological characteristics of the sector generated the appropriate conditions to produce large damage to the complex socio-ecological system of the Copaquilla territory. This study generated participatory material, a chronology of the conflict, a database of the physical environment of the Copaquilla valley interpreted in thematic cartographies, and physicochemical soil and water samples to monitor contamination levels. © 2021, The Author(s), under exclusive licence to Springer-Verlag GmbH Germany, part of Springer Nature.</t>
  </si>
  <si>
    <t>10.1007/s11356-021-15385-1</t>
  </si>
  <si>
    <t>Contamination; Environment; Mining conflict; Mining in Chile; Mining waste; Socio-environmental conflict</t>
  </si>
  <si>
    <t>Chile; Environmental Monitoring; Mining; Soil; Soil Pollutants; Chile; abandoned mine; action research; chronology; hydrogeology; multicriteria analysis; participatory approach; socioeconomic conditions; vulnerability; Chile; environmental monitoring; mining; soil; soil pollutant</t>
  </si>
  <si>
    <t>sustainable water-related hazards assessment in open pit-to-underground mining transitions: an idrr and mcdm approach at sijiaying iron mine, china</t>
  </si>
  <si>
    <t>Siddique A.; Tan Z.; Rashid W.; Ahmad H.</t>
  </si>
  <si>
    <t>The transition from open pit to underground mining intensifies water-related hazards such as Acid Mine Drainage (AMD), groundwater contamination, and aquifer depletion, threatening ecological and socio-economic sustainability. This study develops an Inclusive Disaster Risk Reduction (IDRR) framework using a Multi-Dimensional Risk (MDR) approach to holistically assess water hazards in China’s mining regions, integrating environmental, social, governance, economic, technical, community-based, and technological dimensions. A Multi-Criteria Decision-Making (MCDM) model combining the Fuzzy Analytic Hierarchy Process (AHP) and Technique for Order Preference by Similarity to Ideal Solution (TOPSIS) evaluates risks, enhanced by a Z-number Fuzzy Delphi AHP (ZFDAHP) spatiotemporal model to dynamically weight hazards across temporal (short-, medium-, long-term) and spatial (local to global) scales. Applied to the Sijiaying Iron Mine, AMD (78% severity) and groundwater depletion (72% severity) emerge as dominant hazards exacerbated by climate change impacts (36.3% dynamic weight). Real-time IoT monitoring systems and AI-driven predictive models demonstrate efficacy in mitigating contamination, while gender-inclusive governance and community-led aquifer protection address socio-environmental gaps. The study underscores the misalignment between static regulations and dynamic spatiotemporal risks, advocating for Lifecycle Assessments (LCAs) and transboundary water agreements. Policy recommendations prioritize IoT adoption, carbon–water nexus incentives, and Indigenous knowledge integration to align mining transitions with Sustainable Development Goals (SDGs) 6 (Clean Water), 13 (Climate Action), and 14 (Life Below Water). This research advances a holistic strategy to harmonize mineral extraction with water security, offering scalable solutions for global mining regions facing similar ecological and governance challenges. © 2025 by the authors.</t>
  </si>
  <si>
    <t>10.3390/w17091354</t>
  </si>
  <si>
    <t>environmental impact assessment; IDRR; MCDM; open pit-to-underground transition; SDG alignment; spatiotemporal modeling; sustainable mining; water-related hazards</t>
  </si>
  <si>
    <t>China; Energy policy; Environmental impact assessments; Environmental management systems; Environmental regulations; Global warming; Iron mines; Life cycle assessment; Open pit mining; Solution mining; Water pollution control; Disaster risk reductions; Goal alignments; Impact assessments; Inclusive disaster risk reduction; Multi criteria decision-making; Multicriteria decision-making; Multicriterion decision makings; Open pit; Open pit-to-underground transition; Spatio-temporal models; Sustainable development goal alignment; Sustainable mining; Water-related hazard; aquifer; climate change; environmental impact assessment; open pit mine; spatiotemporal analysis; sustainability; Sustainable Development Goal; Groundwater pollution</t>
  </si>
  <si>
    <t>governing disaster risk and 'survivability': the case of two villages in kerala, india</t>
  </si>
  <si>
    <t>Irshad S.M.</t>
  </si>
  <si>
    <t>Governing disaster risk reduction (DRR) seldom considers the communities' political and social rights. The access to resources as DRR strategy is not yet integrated into the current debate and practices of disaster risk reduction. This study takes two tsunami-affected villages in Kerala, India, to critically analyse the question of rights over natural resources as disaster risk reduction. The study villages are also in the mining zone of the state. Rehabilitation of tsunami victims has strengthened the mining industries in the area and it led to the exclusion of survivors from coastal common pool resources. Government is not having any legal barriers to handing over the coastal land for mining. This paper seeks to discuss the alienation of the community from common pool resources after rehabilitation and its impact on new ownership patterns. The study found that vulnerability increases after rehabilitation and lack of access to common property rights is posing threat to general perception of disaster rehabilitation. Copyright © 2014 Inderscience Enterprises Ltd.</t>
  </si>
  <si>
    <t>10.1504/IJEM.2014.066486</t>
  </si>
  <si>
    <t>Coastal regulation zone; Exclusion; Governing disaster; Mining; Tsunami</t>
  </si>
  <si>
    <t>Laws and legislation; Mining; Natural resources; Rural areas; Tsunamis; Access to resources; Coastal lands; Common pool resources; Common property; Disaster risk reductions; Exclusion; Government IS; Kerala , India; alienation; Article; community based rehabilitation; disaster planning; disaster rehabilitation; disaster risk reduction; disaster victim; government; human; human rights abuse; India; mining; risk reduction; survival; tsunami; Disasters</t>
  </si>
  <si>
    <t>community-based research as a mechanism to reduce environmental health disparities in american indian and alaska native communities</t>
  </si>
  <si>
    <t>McOliver C.A.; Camper A.K.; Doyle J.T.; Eggers M.J.; Ford T.E.; Lila M.A.; Berner J.; Campbell L.; Donatuto J.</t>
  </si>
  <si>
    <t>Racial and ethnic minority communities, including American Indian and Alaska Natives, have been disproportionately impacted by environmental pollution and contamination. This includes siting and location of point sources of pollution, legacies of contamination of drinking and recreational water, and mining, military and agricultural impacts. As a result, both quantity and quality of culturally important subsistence resources are diminished, contributing to poor nutrition and obesity, and overall reductions in quality of life and life expectancy. Climate change is adding to these impacts on Native American communities, variably causing drought, increased flooding and forced relocation affecting tribal water resources, traditional foods, forests and forest resources, and tribal health. This article will highlight several extramural research projects supported by the United States Environmental Protection Agency (USEPA) Science to Achieve Results (STAR) tribal environmental research grants as a mechanism to address the environmental health inequities and disparities faced by tribal communities. The tribal research portfolio has focused on addressing tribal environmental health risks through community based participatory research. Specifically, the STAR research program was developed under the premise that tribal populations may be at an increased risk for environmentally-induced diseases as a result of unique subsistence and traditional practices of the tribes and Alaska Native villages, community activities, occupations and customs, and/or environmental releases that significantly and disproportionately impact tribal lands. Through a series of case studies, this article will demonstrate how grantees—tribal community leaders and members and academic collaborators—have been addressing these complex environmental concerns by developing capacity, expertise and tools through community-engaged research. © 2015 by the authors; licensee MDPI, Basel, Switzerland.</t>
  </si>
  <si>
    <t>10.3390/ijerph120404076</t>
  </si>
  <si>
    <t>American Indian and Alaska Native (AIAN); Community-Based Participatory Research (CBPR); Tribal communities</t>
  </si>
  <si>
    <t>Alaska; Climate Change; Community-Based Participatory Research; Environmental Health; Female; Health Status Disparities; Humans; Indians, North American; Male; Minority Groups; Quality of Life; United States; United States Environmental Protection Agency; United States; drinking water; environmental planning; environmental protection; ethnic minority; health risk; local participation; public health; racial identity; resource management; Alaska Native; American Indian; Article; berry; biological monitoring; chemical composition; climate change; drought; environmental health; environmental impact assessment; environmental monitoring; environmental protection; flooding; food safety; health disparity; health hazard; phytochemistry; quality of life; water pollution; water supply; Alaska; American Indian; female; government; human; male; minority group; participatory research; United States</t>
  </si>
  <si>
    <t>social media-based social–psychological community resilience analysis of five countries on covid-19</t>
  </si>
  <si>
    <t>Valinejad J.; Guo Z.; Cho J.-H.; Chen I.-R.</t>
  </si>
  <si>
    <t>Community resilience (CR) has been studied as an indicator to measure how well a given community copes with and recovers from a given disaster. Social–psychological community resilience (SPCR) has been used as a basis to determine public policy directions based on priority. Although the impact of the COVID-19 has been serious all over the world and interferes every aspect of our daily life, some countries have handled this disaster better than others due to their different disaster management policies and perceptions about the disaster. In this work, we are interested in measuring and analyzing SPCR through social media information in five different countries which can reflect different disaster management policies and perceptions toward the COVID-19. In the literature, measuring SPCR has been discussed, but the key attributes have not been agreed upon. We propose to use two attributes for measuring SPCR, i.e., community wellbeing (CW) and community capital (CC), because social and psychological resilience can be the firm basis for a community to be restored and reinvented into the so-called transformative community to ensure sustainability in the future generation. We use Tweeter data and investigate how each country shows different trends of SPCR in response to real and fake tweets generated during a COVID-19 period using machine learning and text-mining tools. We employ tweets generated in Australia (AUS), Singapore (SG), Republic of Korea (ROK), the United Kingdom (UK), and the United States (US), during March–November 2020 and measure the SPCR of each country and its associated attributes for analyzing the overall trends. Our results show that ROK among the five countries in our study has the highest level in CW, CC, and the resulting SPCR on real tweets reflecting reality, a result that matches well with the fact that ROK is resilient to COVID-19 during March–November 2020. Further, our results indicate that SPCR on real tweets is up to 80% higher than SPCR on fake tweets, suggesting that a much stronger community resilience may be achieved on real tweets. Finally, our results show that there is a negative correlation between SPCR values on fake and real tweets overall when considering all the tweets of the five countries to derive the overall trends. However, for each country, we observe a different correlation, either positive or negative, depending on each country. This implies that there should be further investigation of analyzing SPCR by considering unique cultural and national characteristics of each country. © 2023, The Author(s), under exclusive licence to Springer Nature Singapore Pte Ltd.</t>
  </si>
  <si>
    <t>Applied computing; Computing methodologies; COVID-19; Data science; Fake news; Model verificationand validation; NLP (Natural language programming); Psychology; Real news; Social media; Social–psychological community resilience; Text mining</t>
  </si>
  <si>
    <t>3rd international conference on flood recovery, innovation and response, friar 2012</t>
  </si>
  <si>
    <t>The proceedings contain 21 papers. The special focus in this conference is on improving, interchanging knowledge, expertise in a wide range of technical, social, economic issues related to the broad themes of flood recovery, innovation and response. The topics include: ontology for flood management; cooperation between non-governmental organizations and the state in the matter of flood risk management in the Czech Republic; the utilization of an abandoned mining pond as a retention pond in dealing with storm water runoff; flood risk assessment of the dense downtown in Fukuoka city, Japan; damage and loss prediction model considering inundation level, flow velocity and vulnerability of building types; floods emergency management; flood disaster risk in Jakarta, Indonesia; a multivariate model for flood forecasting of lake levels; comparison of a data-driven model and a physical model for flood forecasting; inflow forecasting for lakes using artificial neural networks; impacts and preventative measures against flooding and coastal erosion in Thailand; ice dams and backwaters as hydrological risk phenomena; analysis of runoff variation according to subbasin division; the role of solid waste management as a response to urban flood risk in developing countries; factors for the design of novel property level flood resilient products; towards the development of a comprehensive systematic quantification of the costs and benefits of property level flood risk adaptation and sustainable flood memories, informal knowledge and the development of community resilience to future flood risk.</t>
  </si>
  <si>
    <t>how do local communities adapt to climate changes along heavily damaged coasts? a stakeholder delphi study in ky anh (central vietnam)</t>
  </si>
  <si>
    <t>Nguyen A.T.; Vu A.D.; Dang G.T.H.; Hoang A.H.; Hens L.</t>
  </si>
  <si>
    <t>The Central Vietnamese coast faces increasing impacts on the local livelihoods of coastal communities as a result of the increasing natural hazards which include tropical storms, heavy rains, and floods. A challenge for the local populations is improving their adaptation capacity to climate change hazards in a sustainable way. This study deals with the impacts of climate change-associated hazards and adaptation capacity in coastal communes of the Ky Anh district, Ha Tinh province along the coast in Central Vietnam. A combination of the Stakeholder Delphi technique and the DPSIR (drivers–pressures–states–impacts–responses) framework was used. Delphi questionnaires allowed assessing the consensus among the respondents of a stakeholder group. Twenty questions and 20 statements were listed reflecting the DPSIR components. Thirty-six panel members, which were randomly selected from four stakeholder groups which included local authorities, farmers, fishermen, and fish traders, were involved in a two-round Delphi process. The results show that, both agricultural and non-agricultural sectors are main drivers (D); migration, calamities, population growth, mineral mining, aquaculture processing, and agriculture are main pressures (P); changes in the frequency of extreme weather events, increasing intensity of storms, floods, and droughts indicate main states (S); changes in agricultural land use and productivity are main impacts (I); construction of and upgrading dykes and irrigation systems should be the principal responses (R) in the vision of the local stakeholders. The Kendall’s W value for the second round is 0.681, indicating a high degree of consensus among the panel members and confidence in the ranks. Overall, the study advocates developing sustainable ecosystems, an upgraded New Rural Planning, and renewable energy strategies as the main local adaptations to climate change hazards in this area. © 2017, Springer Science+Business Media Dordrecht.</t>
  </si>
  <si>
    <t>10.1007/s10668-017-9908-x</t>
  </si>
  <si>
    <t>Adaptation capacity; Central Coast Vietnam; Climate change hazards; DPSIR framework; Ky Anh coastal zone; Local communities; Stakeholder Delphi technique</t>
  </si>
  <si>
    <t>Ha Tinh; Viet Nam; adaptive management; agricultural land; agricultural production; capacity building; climate change; coastal zone; conceptual framework; construction; Delphi analysis; land use; local participation; natural hazard; stakeholder</t>
  </si>
  <si>
    <t>assessing the distribution pattern of otters in four rivers of the indian himalayan biodiversity hotspot</t>
  </si>
  <si>
    <t>Gupta N.; Tiwari V.; Everard M.; Savage M.; Hussain S.A.; Chadwick M.A.; Johnson J.A.; Nawab A.; Belwal V.K.</t>
  </si>
  <si>
    <t>The Eurasian otter (Lutra lutra), smooth-coated otter (Lutrogale perspicillata), and Asian small-clawed otter (Aonyx cinereus) have all been reported previously from the Indian state of Uttarakhand. However, little information is available about their current distribution in a mountainous region that is subject to increasing human-induced stressors (such as hydropower plants, pollution, sand and boulder mining, destructive fishing techniques, poaching). Owing to important roles played by these otters in structuring riverine food webs (particularly taking account of their roles as top carnivores), it is critical that they receive suitable protection in the face of projected temperature rise, change in precipitation patterns, and associated river flows in this Himalayan biodiversity hotspot. This study assesses otter distribution in four rivers of Uttarakhand as a basis for informing future conservation actions. Field surveys were conducted (October 2018–January 2019) in reaches of the Kosi, Ramganga, Khoh, and Song rivers, supported by semi-structured interviews (N = 379) conducted with members of local communities to collect qualitative data on views and perceptions of otter species. In addition, community-based otter awareness camps were organized for local youths (N = 105), adults (N = 115), and schoolchildren (N = 256 covering 10 schools). Habitat suitability maps were created using remote-sensing data, survey findings, and a geographic information system to provide information about priority reaches of river to be targeted for future conservation efforts. This study provides critical interdisciplinary baseline information to guide decision-makers towards developing a targeted, otter-specific conservation programme for this important Himalayan biodiversity hotspot. The otter conservation education programmes conducted during this study resulted in a proposal to set up a community-based conservation initiative to monitor and report otter sightings from the area, potentially representing a way forward for achieving simultaneous otter conservation and associated ecosystem benefits for local communities. © 2020 John Wiley &amp; Sons, Ltd.</t>
  </si>
  <si>
    <t>10.1002/aqc.3284</t>
  </si>
  <si>
    <t>climate change; freshwater; human-induced stressors; Lutrinae; Mustelidae; otters; Uttarakhand; wetlands</t>
  </si>
  <si>
    <t>India; Kosi; Nepal; Uttarakhand; Amblonyx cinereus; Lutra lutra; Lutrinae; Lutrogale perspicillata; Mustelidae; assessment method; biodiversity; climate change; conservation planning; field survey; food web; freshwater environment; future prospect; human activity; mountain region; perception; population distribution; prioritization; qualitative analysis; questionnaire survey; wetland</t>
  </si>
  <si>
    <t>river sand mining and associated environmental problems in sri lanka</t>
  </si>
  <si>
    <t>Piyadasa R.U.K.</t>
  </si>
  <si>
    <t>The demand for sand for construction purposes has increased significantly in Sri Lanka in recent years, particularly due to the tsunami disaster that occurred in December 2004. This high demand led to a major increase in sand mining in many areas. Extraction of sand from river bed and river bank sand deposits has increased greatly. The current demand for sand for building construction within the country is approximately 7-7.5 million cubic metres per year. River sand mining activities have disrupted the natural equilibrium and have caused adverse affects on the environment. The Nilwala and Ginganga rivers are the main rivers in southern Sri Lanka that are suffering from both illegal and excessive sand mining. However, other rivers in the southern part of the island have also been affected by this problem at different scales. It is estimated that mining of sand from the Nilwala River has increased by three times compared to 1997. Excessive extraction of sand from river channels results in wide ranging impacts, including the intrusion of sea water into the river, collapse of river bank, and loss of riparian land. Recognising the need for scientific assessments of the extent of environmental degradation caused by indiscriminate sand mining, an attempt has been made to study the environmental impacts of such sand mining in the Nilwala River basin of southern Sri Lanka and to propose corrective measures. The objective of the study reported in this contribution focused on changes in groundwater quality resulting from sand mining in the Nilwala River basin area. River sand mining has reduced significantly in recent years due to people participation, integrating research findings, imposition of legal regulatory frameworks, and networking of community-based organizations. Copyright © 2011 IAHS Press.</t>
  </si>
  <si>
    <t>Electrical conductivity; Groundwater; PH; Salinity; Sand mining; Seawater intrusion; Sri Lanka</t>
  </si>
  <si>
    <t>Sri Lanka; Banks (bodies of water); Degradation; Electric conductivity; Groundwater; pH; Rivers; Salt water intrusion; Seawater; Sedimentology; Water quality; Watersheds; Building construction; Community-based organizations; Corrective measures; Different scale; Electrical conductivity; Environmental problems; Ground-water qualities; High demand; Integrating research; Natural equilibrium; Regulatory frameworks; Riparian lands; River bank; River basins; River bed; River channels; River sands; Salinity; Sand deposits; Sand mining; Sri Lanka; Tsunami disaster; anthropogenic effect; electrical conductivity; groundwater pollution; groundwater resource; mining; natural disaster; nature-society relations; pH; regulatory framework; river bank; river bed; river channel; river pollution; saline intrusion; salinity; sand; tsunami event; water quality; Sand</t>
  </si>
  <si>
    <t>climate action with a lagniappe: coastal restoration, flood risk reduction, sacred site protection and tribal communities’ resilience</t>
  </si>
  <si>
    <t>Maldonado J.; Peterson K.; Turner R.E.; Dardar T.; Parfait-Dardar S.; Philippe R.; Dardar D.; Jerolleman A.; Torres J.; Lovingood R.; Olson M.</t>
  </si>
  <si>
    <t>Coastal Louisiana’s intricate web of natural ecosystem diversity is unraveling. Hydrological, meteorological, and environmental disasters, extractive industries, river mismanagement, and climate change are drastically transforming the coastal landscape and waterscape. Ten thousand miles of canals were cut through Louisiana’s coastal wetlands to create passageways for pipelines and navigation. Local and Indigenous knowledge tells us that canals, primarily constructed for oil and gas extraction, in and around the tribal communities, particularly from the 1950s–1970s, is the dominant cause of current land loss (Bethel et al. 2011). These anthropogenic influences, and others, resulted in Louisiana having among the highest land loss rates in the world (Carter et al. 2018). Within this context and in response to the rapidly increasing climate crisis, three Tribes in coastal Louisiana – Grand Bayou, Grand Caillou/Dulac, and Pointe-au-Chien – initiated a project to restore marshland in their communities in order to preserve sacred places and reduce land loss. This will be done by filling in the canals dredged in Louisiana’s wetlands, whose dredged materials create continuous levees, or spoil banks, that are aligned perpendicular to the canal. Filling in canals with the spoil bank is called “backfilling” and is intended to restore marsh on the spoil bank and in the canal and prevent further marsh loss. Without this project, these vital sacred sites will disappear due to erosion from the surrounding canals and spoil banks, and with them their legacy and significance for the Tribes. This project provides a lagniappe – the extra value gained from simultaneously restoring marshes and protecting sacred sites. These actions enable a sustainable and justice-centered adaptation process and a regenerative future that is based on human and environmental rights with full participation in the well-being of community. The project melds human and physical dimensions into co-problem solving. Each phase will document, analyze, and assess relationships between cultural and Indigenous heritage, coastal restoration, and community resilience, and bridge gaps between the knowledge and experience held by citizen knowledge-holders, and other scientists, while enhancing community resilience across generations. The project team brings together local Indigenous leaders, knowledge-holders and scientists with western physical and social scientists, centering Indigenous knowledge and local knowledge, and modeling to co-produce a decision matrix to determine the optimal places for canal restoration, and then restore them. This project tests innovative and replicable strategies to increase cultural heritage and community resilience and develop a resilient cultural heritage safe-haven prototype. This environmental justice- and community-driven project fills a critical role in shaping cumulative best practices for integrating coastal resilience activities and cultural heritage in all at-risk regions of the United States. © 2023 Taylor and Francis.</t>
  </si>
  <si>
    <t>10.4324/9781003242499-13</t>
  </si>
  <si>
    <t>development, adaptation, and assessment of alerting algorithms for biosurveillance</t>
  </si>
  <si>
    <t>Burkom H.S.</t>
  </si>
  <si>
    <t>The goal of APL's biosurveillance effort is to assist the public health community in the early recognition of disease outbreaks. ESSENCE II, the Electronic Surveillance System . for the Early Notification of Community-based Epidemics, applies alerting algorithms to "anonymized" consumer data to give epidemiologists early cues to potential health threats in the National Capital Area. Raw data include traditional indicators such as hospital emergency room visits as well as nontraditional indicators such as physician office visits and less-specific, but potentially timelier, indicators such as sales of over-the-counter remedies. To improve the timeliness of alerting for disease outbreaks, we have adapted temporal and spatiotemporal algorithms from various disciplines, including signal processing, data mining, statistical process control, and epidemiology.</t>
  </si>
  <si>
    <t>Algorithms; Data mining; Disease control; Epidemiology; Health care; Statistical process control; Biosurveillance; Disease outbreaks; Pathogens; Disaster prevention</t>
  </si>
  <si>
    <t>eliciting social themes of flood mitigation and community engagement studies through text mining</t>
  </si>
  <si>
    <t>Egbelakin T.; Omotayo T.; Ogunmakinde O.E.; Ekundayo D.</t>
  </si>
  <si>
    <t>Purpose: Flood preparedness and response from the perspective of community engagement mechanisms have been studied in scholarly articles. However, the differences in flood mitigation may expose social and behavioural challenges to learn from. This study aimed to demonstrate how text mining can be applied in prioritising existing contexts in community-based and government flood mitigation and management strategies. Design/methodology/approach: This investigation mined the semantics researchers ascribed to flood disasters and community responses from 2001 to 2022 peer-reviewed publications. Text mining was used to derive frequently used terms from over 15 publications in the Scopus database and Google Scholar search engine after an initial output of 268 peer-reviewed publications. The text-mining process applied the topic modelling analyses on the 15 publications using the R studio application. Findings: Topic modelling applied through text mining clustered four (4) themes. The themes that emerged from the topic modelling process were building adaptation to flooding, climate change and resilient communities, urban infrastructure and community preparedness and research output for flood risk and community response. The themes were supported with geographical flood risk and community mitigation contexts from the USA, India and Nigeria to provide a broader perspective. Originality/value: This study exposed the deficiency of “communication, teamwork, responsibility and lessons” as focal themes of flood disaster management and response research. The divergence in flood mitigation in developing nations as compared with developed nations can be bridged through improved government policies, technologies and community engagement. © 2023, Emerald Publishing Limited.</t>
  </si>
  <si>
    <t>10.1108/IJBPA-02-2023-0022</t>
  </si>
  <si>
    <t>Climate change; Community engagement; Disaster resilience; Flood; Text mining</t>
  </si>
  <si>
    <t>Data mining; Disaster prevention; Disasters; Floods; Human resource management; Risk assessment; Search engines; Semantics; Community engagement; Community response; Disaster resiliences; Disaster-response; Flood mitigation; Flood risks; Preparedness and response; Scholarly articles; Text-mining; Topic Modeling; Climate change</t>
  </si>
  <si>
    <t>resilient city and flood disaster mitigation adaptation community-based in samarinda city</t>
  </si>
  <si>
    <t>Alwin; Rachmawati R.; Hidayati I.N.; Suprayogi S.</t>
  </si>
  <si>
    <t>A resilient city is a concept that refers to a city's ability to survive, adapt, and recover from various disturbances, including natural disasters such as floods. A resilient city does not only depend on strong physical infrastructure, but also on its social, economic, and institutional capacities. The application of the resilient concept means strengthening the community's ability to participate in the planning and implementation of flood mitigation strategies. To achieve resilient community resilience in cities, it is necessary to enhance the capacity of urban communities to anticipate the impacts of disasters. The objective of this study is to analyse the resilience of the community of Samarinda City to flood disasters. The research used quantitative methods with data collection through questionnaires. The population in the study was 1500 households directly affected by flooding, and the sample consisted of 316 households spread across 10 subdistricts. Data analysis used the Rap Resilient City unit of analysis with the MDS method using SPSS with parameters of multidimensional dimensions, ecological dimensions, economic dimensions, socio-cultural dimensions, ethical dimensions, and technological dimensions. The research results show that the resilience of Samarinda City is divided into two resilience index values: the multidimensional aspect is categorized as moderately sustainable (56 MDS), the economic dimension (61 MDS), and the socio-cultural dimension (61 MDS). These dimensions are moderately sustainable due to the increase in mining and industrial areas in Samarinda City, which has influenced the socio-economic conditions of the community. while the index values for the ethical dimension (50 MDS), ecological dimension (49 MDS), and technological dimension (47 MDS) are less sustainable. This is due to land use changes, insufficient early warning system facilities, and developed land in riverbank areas. The findings reveal a gap between the economic dimension and the ethical, ecological and technological dimensions in achieving a resilient urban community. Achieving resilient urban community resilience requires a holistic approach by integrating various dimensions. © 2025 The Authors.</t>
  </si>
  <si>
    <t>10.1016/j.jum.2025.12.004</t>
  </si>
  <si>
    <t>City resilience; Community-based adaptation; Flood disaster; Rap resilience city; Urban resilience index</t>
  </si>
  <si>
    <t>remediation of antimony-rich mine waters: assessment of antimony removal and shifts in the microbial community of an onsite field-scale bioreactor</t>
  </si>
  <si>
    <t>Sun W.; Xiao E.; Kalin M.; Krumins V.; Dong Y.; Ning Z.; Liu T.; Sun M.; Zhao Y.; Wu S.; Mao J.; Xiao T.</t>
  </si>
  <si>
    <t>An on-site field-scale bioreactor for passive treatment of antimony (Sb) contamination was installed downstream of an active Sb mine in Southwest China, and operated for one year (including a six month monitoring period). This bioreactor consisted of five treatment units, including one pre-aerobic cell, two aerobic cells, and two microaerobic cells. With the aerobic cells inoculated with indigenous mine water microflora, the bioreactor removed more than 90% of total soluble Sb and 80% of soluble antimonite (Sb(III)). An increase in pH and decrease of oxidation-reduction potential (Eh) was also observed along the flow direction. High-throughput sequencing of the small subunit ribosomal RNA (SSU rRNA) gene variable (V4) region revealed that taxonomically diverse microbial communities developed in the bioreactor. Metal (loid)-oxidizing bacteria including Ferrovum, Thiomonas, Gallionella, and Leptospirillum, were highly enriched in the bioreactor cells where the highest total Sb and Sb(III) removal occurred. Canonical correspondence analysis (CCA) indicated that a suite of in situ physicochemical parameters including pH and Eh were substantially correlated with the overall microbial communities. Based on an UPGMA (Unweighted Pair Group Method with Arithmetic Mean) tree and PCoA (Principal Coordinates Analysis), the microbial composition of each cell was distinct, indicating these in situ physicochemical parameters had an effect in shaping the indigenous microbial communities. Overall, this study was the first to employ a field-scale bioreactor to treat Sb-rich mine water onsite and, moreover, the findings suggest the feasibility of the bioreactor in removing elevated Sb from mine waters. © 2016 Elsevier Ltd. All rights reserved.</t>
  </si>
  <si>
    <t>10.1016/j.envpol.2016.05.008</t>
  </si>
  <si>
    <t>Fe-oxidizing bacteria; High-throughput sequencing; In situ bioremediation</t>
  </si>
  <si>
    <t>Antimony; Bacteria; Biodegradation, Environmental; Bioreactors; China; Environmental Restoration and Remediation; Mining; Waste Water; Water Pollutants, Chemical; China; Gallionella; Leptospirillum; Thiomonas; Bacteria; Bioconversion; Bioreactors; Bioremediation; Cells; Cytology; Groundwater; Microorganisms; Mine flooding; pH effects; Redox reactions; RNA; Throughput; Water treatment; antimony; mine water; small subunit ribosomal RNA; unclassified drug; water; antimony; waste water; water pollutant; Canonical Correspondence Analysis; High-throughput sequencing; In-situ bioremediation; Microbial communities; Microbial composition; Oxidation reduction potential; Physicochemical parameters; Principal coordinates analysis; antimony; bioreactor; iron-reducing bacterium; microbial community; mine drainage; physicochemical property; remediation; water treatment; Article; bacterium; bioreactor; bioremediation; China; controlled study; environmental monitoring; Ferrovum; Gallionella; high throughput sequencing; Leptospirillum; microbial community; nonhuman; onsite field scale bioreactor; oxidation reduction potential; pH; Thiomonas; waste component removal; analysis; ecosystem restoration; mining; procedures; waste water; water pollutant; Biological water treatment</t>
  </si>
  <si>
    <t>forest restoration can increase the rio doce watershed resilience</t>
  </si>
  <si>
    <t>Pires A.P.F.; Rezende C.L.; Assad E.D.; Loyola R.; Scarano F.R.</t>
  </si>
  <si>
    <t>Rio Doce watershed has centuries of land degradation and it was the main victim of the worst environmental disaster in Brazil's history. This process of deforestation and soil erosion could be significantly mitigated if compliance to the new Brazilian Native Vegetation Protection Law (NVPL) would be ensured. Here, we show how the percentage of forest kept in areas of permanent preservation (APP) required by the NVPL drives the overall resilience and resistance of the entire Rio Doce watershed and how it contributes to the national restoration commitments. We used water quality as a proxy for watershed resilience and resistance and we found that compliance to NVPL would require restoration of about 716 thousand hectares of riverine forest across the watershed. We found that increased forested areas improved watershed resistance and resilience during the rainy and dry seasons, respectively. Our estimates suggest that the implementation of the NVPL could improve water quality, in addition to removing 14 Gt CO2 yr−1 ha−1 from the atmosphere. At this scale, the forest restoration effort would represent 6% of Brazil's restoration commitment. Financial feasibility of such a restoration enterprise is also achievable; at the highest possible estimate, it would compromise about 59% of the total fund proposed by the mining companies responsible for the accident. Given the low socioeconomic indicators of this basin, intervention should be designed so as to improve local livelihoods and, therefore, contribute to local adaptation and sustainable development. © 2017 Associação Brasileira de Ciência Ecológica e Conservação</t>
  </si>
  <si>
    <t>10.1016/j.pecon.2017.08.003</t>
  </si>
  <si>
    <t>Areas of permanent preservation – APP; Ecosystem services; New Forest Code; Sustainable development goals – SDGs; Water quality</t>
  </si>
  <si>
    <t>3rd international conference on energy and environmental protection, iceep 2014</t>
  </si>
  <si>
    <t>The proceedings contain 805 papers. The special focus in this conference is on Applied Energy Technology, Advances in Environmental Technologies, Thermal, Power and Electrical Engineering, and Resources and Sustainable Development. The topics include: Chromium removal from aqueous solution by microwave-modified phosphogypusum; desorption of copper from soils enchanced by dihydroxysuccinic acid; facile synthesis of NiO nanoflowers and their application in water treatment; preparation of gold nanoparticles supported on montmorillonite and its catalytic activity for CO oxidation; study of additives on performance of copper films with pulse electroplating; the composition and application of UV-curable adhesive; adsorption of organic pollutants by ferric oxide modified montmorillonite; effect of dynamic change of activities of enzymatic in sugarcane field with different coating material; enhanced coagulation for slightly polluted seawater using ferric sulfate and modified diatomite; photocatalytic degradation of methyl orange using doped titanium dioxide coating; preparation of catalytic paper using Fe-pillared bentonite as filler by a paper-making technique; properties, preparation and application of oil spill dispersant; the role of nano ceramic materials with high specific surface in environment protection; a brief view on the reflection of pleated design in the concept of low-carbon clothing; isolation and characterization of three bacterium strains for biodegradation of methamidophos; research on biological materials for artificial propagation of bird nest fern spore; study on the impact factors of microbial oil displacement efficiency; application of bioinformatics in microbial ecology; community based environmental risk analysis for ciprofloxacin hydrochloride; cultivation of chlorella culturing with RO brine - primary effluent blended; effects of lanthaum on active oxygen metaboism in soybean; experimental study of treating petroleum refinery wastewater by vacuum distillation; investigating the interaction of ninhydrin with amino acids and polypeptide; photocatalytic degradation of phenol with bacteriorhodopsin sensitized TiO2 nanoparticles; the electrochemical corrosion behaviors of X70 pipeline steel in polluted freshwater; the study of residual oil gasification into methane; study on the flocculating performance of modified starches; magnetic bacteria as a tool for bioremediation of heavy metal ion; the scaling preventable measures of multi-effect distillation plants; researching on double-reserve flotation reagents of phosphate mineral; experimental study on supercritical water oxidation of paper mill sludge; synthesis and characterization of canola oil-based polyisocyanates; quantity dynamics of vegetation characteristics; an application of molecular tools in plant genetic diversity conservation; vegetation fraction change monitoring in Beijing by remote sensing; vibration analysis of the control valve coupled models; wavelet denoising method for RF signal; discussion on the biodegradation performance of foam extinguishing agent; experiment and research on the mechanism of foam dedusting agent; the nanofiltration technology of metoprolol in the water environment; analysis of chronic diseases in technology universities faculty; purifying the welding fume on the spot with corona plasma; city soil pollution degree of heavy metals; design of environmental monitoring data collection repeater; modelling study of the influence of wave farm to nearshore wave climate and current; study on dynamic changes of soil salinity in southern area of Laizhou bay; a new method for forecasting of non-point source pollutant load; assessment on heavy metals in edible bivalves in Dandong market; effects of livestock farms on heavy metal pollution in farmland soils; imbalanced environmental interests among subjects with distinctive rights; key pollution source monitoring and supervision system based on RFID technology; prediction of GC retention times of PBDE congeners based on QSRR; prediction of GC retention times of PBDE congeners based on QSRR; study of effects of long-range transport of air pollutants on the atmospheric environment; study on the impact of fog and haze on environment and control recommendations; the recent advances and applications of arsenic speciation in water; BCR speciation analysis of mercury in smelting slag at Yunnan arsenic mining area; the green port grade evaluation method based on AHP; relationship between number of tourists and environment of scenic; research on measures to strengthen environmental risk management of chemicals in Jiangsu province; effect of discharged brine on the marine ecological environment; prospects of biochar technology in China based on SWOT analysis; the land use sustainability in Xining which based on ecological footprint model; research on environmental risk assessment of contaminated sites reuse; an analysis of safety management in construction projects; the research and summary of road deicing methods; design of emergency prevention system based on GIS; an experimental study on compatible solute ectoine dosing of high salinity wastewater; inhibition of nitrite on denitrifying phosphate removal process; environmental analysis of pure electric vehicle battery recycling and utilization; the instance analysis of mine geological environment protection and recovery management; urban sewage treatment project risk management model; research progress of simulation on the flow field in anaerobic reactor; adsorption of herbicide onto fly ash sample from aqueous solution; applicability from earthworms to live in the soil with PAHs; applicability from earthworms to live in the soil with PAHs; study on the novel non-aeration membrane bioreactor; effects of solid organic carbon on nitrate remove in groundwater; mechanism of collection of dust particles by charged droplet; research progress of scale inhibition mechanism; sustainable wastewater reuse technique for irrigation; the research progress of nitric oxides controlling technology; study on the ozone treatment of night-soil sewage; study on biofortification in vertical flow constructed wetland; research progress on the electric coagulation of fine dust; the treatment of aniline wastewater by electro-Fenton method; analysis on biogas engineering of farm and investment result; research on waste product recycling ability evaluation for remanufacturing; study of anaerobic digestion of model kitchen waste; study on preparation of a new-type catalyst and its catalytic activity; design and simulation optimization of the gravity oil-water separator; kinetic study on pyrolysis of gentamicin residue; a new method for comprehensive utilization of kitchen garbage; the research of construction waste on the road base; the treatment and recycling of FGD waste; study on rapid high-efficient composting process of sewage sludge; research on driving mechanism of socio-economic factors for water cycle; analysis on hydrogeological conditions of Nanlizhuang iron ore in China; research and application in ecological revetment of the mountain river; water resources adaptive management to cope with uncertainty; study on the marine environment protection for the south China sea; advance in coupled surface water and groundwater models; prediction of water quality using fuzzy logic; models of water strategy based on linear regression; a study of local drag characteristics in elbow pipe; comparison on permanganate and ozone as pre-oxidation agents; evaluation research of rural potable water supply project construction in Shaoxing; the influence of long-term fertilization on soil acidification; numerical calculation of the erosion force based on the rainfall; the preliminary study on definition of slope debris flow; analysis on the causes and hazards of fog-haze and prevention strategies in China; research on soil moisture and nutrients in different steppe ecosystems; a review of forestland use and management in China; study on the changes of seedling biomass of introduction fast-growing poplar; mine dynamic monitoring and integrated management based on RS and GIS; research on location in complex mountainous base on GIS; paddy field purifying fishpond water and the necessary size; advances in water purification for pond freshwater aquaculture; try to talk about the role of landscape plants in urban garden; study on environmental issues of golf course construction in China and value theory of lean construction in China.</t>
  </si>
  <si>
    <t>application of a basin management approach to groundwater utilization in the otavi mountain land, namibia</t>
  </si>
  <si>
    <t>Heyns P.</t>
  </si>
  <si>
    <t>The purpose of the paper is to provide an analysis of sustainability issues related to the practical implementation of the concept of basin management with reference to the Karst Water Management Body (KWMB) in Namibia. A river basin is regarded as an appropriate management unit and the concept of establishing basin management institutions was introduced to achieve the objectives of sustainable natural resources management in general. However, the karst aquifer is unique because it lies in the headwaters of a number of river basins and the management of this groundwater resource goes a little beyond the logic of water resource management as it is understood for surface water sources. In view of the unacceptability of the perceived top down management of water resources, a need was identified for a participatory approach to integrated groundwater resources management in the Otavi Mountain Land in Namibia. After consultations with the Government of Namibia (Government), the KWMB was established to assist stakeholders who obtained water for domestic use, mining and irrigation from aquifers in a karstified hydrogeological environment located in the Otavi Mountain Land in northern Namibia with the management of their water sources. The karst area has been declared a groundwater control area by the Government and provides the framework for efficient and sustainable management of groundwater resources. The eventual sustainability of a basin management institution depends on the justification for such an institution, the capacity of the stakeholders to drive the required activities, the resources at the disposal of the institution and numerous other factors beyond the control of the institution. The paper discusses the practical application of the principles and concepts of basin management, the challenge of stakeholder participation, the impact of Government policy and legislation as well as the sustainability of the basin management institution. The paper demonstrates that management of surface water basins and groundwater aquifers are different in nature and require different management approaches. © 2008 Elsevier Ltd. All rights reserved.</t>
  </si>
  <si>
    <t>10.1016/j.pce.2008.06.028</t>
  </si>
  <si>
    <t>Aquifer management; Basin management; Groundwater allocation; Stakeholder participation</t>
  </si>
  <si>
    <t>Africa; Namibia; Otavi; Otjozondjupa; Southern Africa; Sub-Saharan Africa; Aquifers; Energy resources; Groundwater; Groundwater resources; Hydrogeology; Information management; Knowledge management; Landforms; Natural resources management; Offshore oil well production; Public policy; Resource allocation; Reusability; Societies and institutions; Sustainable development; Underground reservoirs; Water analysis; Water management; Watersheds; aquifer; basin management; groundwater resource; river basin; stakeholder; surface water; sustainability; water planning; water use efficiency; Aquifer management; Basin management; Control area; Domestic use; Government policies; Groundwater allocation; Groundwater aquifers; Groundwater resources management; Groundwater utilization; Hydrogeological; Karst aquifers; Karst areas; Karst water; Management unit; Namibia; Participatory approaches; Practical implementation; Resources management; River basins; Stakeholder participation; Surface water sources; Sustainability issues; Sustainable management; Top-down; Water basins; Water resource management; Water resources; Water sources; Management</t>
  </si>
  <si>
    <t>past, present and future of embankments in bangladesh: an investigation of the embankment failures and recommendations for sustainable solutions</t>
  </si>
  <si>
    <t>Iqbal A.; Rahman M.; Murshed S.; Islam A.; Muktadir H.; Khan M.; Bala S.</t>
  </si>
  <si>
    <t>Embankments have traditionally served as the primary structural measure to protect floodplains from inundation. In Bangladesh, these structures are increasingly recognized as socio-technical systems embedded within complex social and institutional dynamics. This study critically examines the historical performance of embankments, identifies the causes of their poor functionality and current challenges, and proposes future-oriented recommendations to rethink the traditional embankment system. Employing a mixed-methods approach, including field observations, key informant interviews (KIIs), focus group discussions (FGDs), strengths, weaknesses, opportunities, and threats (SWOT), and policy analysis, the study provides a comprehensive analysis linking past experiences with present realities and future demands. Initially constructed in the 1960s to protect agricultural lands from prolonged monsoon flooding, embankments have since altered the biophysical characteristics of rivers and floodplains. Over time, their performance has deteriorated due to weakened institutional capacity, inadequate maintenance funding, and evolving socioeconomic conditions. The study highlights critical issues such as delayed project implementation, lack of community ownership, and unregulated sand mining. It recommends a socio-technical approach with timely project execution, community-based planning and management, promotion of multipurpose use, and the integration of satellite-based monitoring, along with policy-based recommendations. The study also recommends policy coherence and a mandated action plan per policy for proper implementation. Furthermore, aligning embankment development with integrated water resources management (IWRM) principles is essential to enhance climate resilience and ensure long-term functionality. © 2026 Policy Studies Organization.</t>
  </si>
  <si>
    <t>10.1002/wwp2.70080</t>
  </si>
  <si>
    <t>integrated water resources management (IWRM); policy regime; rethinking of embankment system; socio-technical framework; sustainable solutions</t>
  </si>
  <si>
    <t>community is a solution, not a problem: a systematic review on lessons learned during the covid-19 pandemic on improving the capacity of the last mile through community-based approaches</t>
  </si>
  <si>
    <t>Kamalrathne T.; Amaratunga D.; Haigh R.</t>
  </si>
  <si>
    <t>Community involvement in disaster risk reduction plays a vital role in various aspects. It enhances understanding of the challenges and risk dynamics at the local level, as well as potential solutions. Community-based approaches have been proven effective for disaster risk mitigation, particularly in resource-limited settings. During the COVID-19 pandemic, many community-based interventions emerged as alternative strategies and coping mechanisms, which are the primary focus of this paper. Data for this study were collected through a systematic review using databases such as ScienceDirect, Scopus, and Emerald Journals. After a thorough record mining process, 38 records were selected for analysis—30 from peer-reviewed journal articles and eight from grey literature. Thematic analysis was employed to examine the qualitative data gathered from these manuscripts, utilizing NVivo-14 software. Initial coding and focused coding were applied to identify key themes. The findings indicate that many communities in developing countries effectively utilized community-based approaches to address the primary challenges posed by the COVID-19 pandemic. These challenges were closely related to health system overloads, implications of responses during lockdowns, low acceptance of preventive measures, difficulties in data management, risk communication, and early warnings. Other issues included livelihood disruptions and food safety, social isolation and mental health concerns, public health information management, and severe impacts on vulnerable and marginalised communities. Furthermore, affected communities collaborated with local stakeholders to implement many community-based interventions. There is a pressing need to document and assess these initiatives as part of regional and national disaster risk reduction frameworks to enhance evidence-based practices © 2025 The Authors.</t>
  </si>
  <si>
    <t>10.1016/j.pdisas.2025.100489</t>
  </si>
  <si>
    <t>Community-based approach; Community-based interventions; COVID-19 pandemic; Disaster risk reduction; Health hazards</t>
  </si>
  <si>
    <t>COVID-19; disaster management; health impact; literature review; local participation; mitigation; stakeholder</t>
  </si>
  <si>
    <t>extractivist fractures in the atacama desert: an oasis of contradictions</t>
  </si>
  <si>
    <t>Braucher C.; Benguria H.B.</t>
  </si>
  <si>
    <t>This article examines the socioecological ‘fractures’ emerging from lithium extraction in the Atacama Salt Flat, a massive, high-altitude saline formation on the Chilean Andean Mountain Range, and one of the world’s richest lithium reserves. Conceptualized as an ‘oasis of contradictions,’ the Atacama’s territory—defined by its hydrological basin—is simultaneously, a site for the global ‘green’ transition and a space of deepening dispossession—where transnational demands for lithium collide with Indigenous territorialities. Grounded in political ecology and based on extensive fieldwork with Lickanantay communities, our study imagines ‘fractures’ as multidimensional disruptions—ecological, cultural, and political—driven by extractivist dynamics. By unpacking the socioecological fallout of ‘green’ mining—foregrounded by Indigenous resistance and territorial claims in the Andean Highlands—our research challenges dominant development logics and calls for governance frameworks grounded in socioenvironmental justice and community resilience. © 2025, Armand Colin. All rights reserved.</t>
  </si>
  <si>
    <t>10.4000/15d2n</t>
  </si>
  <si>
    <t>Atacama salt flat; Chile; dispossession; energy transition; epistemic violence; extractivism; extractivist fractures; fracture; political ecology</t>
  </si>
  <si>
    <t>Atacama Desert; Chile; desert; environmental justice; fieldwork; governance approach; lithium; mining; territoriality; violence</t>
  </si>
  <si>
    <t>evaluation, a challenge for successful management, performance and motivation of the public administration empirical analysis in front of theory-cal analysis</t>
  </si>
  <si>
    <t>Sinaj Z.; Robert Dumi A.</t>
  </si>
  <si>
    <t>This study examines the legal framework for municipal governance and analyses whether, in practice, the relationships follow the pattern as intended in the law. But, today there is growing recognition of the important role that community-based organizations (CBOs) can play in supporting young people’s postsecondary aspirations and success Business takes place worldwide, in a huge diversity of societies and between widely varying organizations. Actually, the business environment has become more complex, with expanding and deepening ties between societies and between the many organizations within those societies. Moreover, many large organizations now see themselves as truly global in scope, not rooted in any one society. This study empirically examines the impact of debt management policies on borrowing costs incurred by state governments when issuing debt in the municipal bond market and it is in focus of public administration reforms. Many activities in Albania required cumbersome licensing procedures and permits. In 2007, the GOA approved the Action Plan for Regulatory Reform which provided for a full review of Albania’s entire legal licensing system to harmonize the licensing legislation to EU standards and reduce administrative barriers for businesses operating in Albania. As a result, many licenses were removed while a broad simplification of licensing procedures has been completed in many sectors including, mining, hydrocarbons, public works, health, agriculture and the environment. By October 2008, 64 out of 151 licenses identified in 18 sectors of the economy were removed and another 21 licenses were changed into self-declaration. Work is in progress to identify other licenses that could be removed. For the remaining licenses the government plans to start a "One-Stop-Shop" for licensing within the first quarter of 2009. However, licensing and post-registration processes require further simplification and the removal of licenses needs to be accompanied by a strengthening of the supervision capacities of public agencies. © 2015 Mediterranean Journal of Social Sciences. All rights received.</t>
  </si>
  <si>
    <t>10.5901/mjss.2015.v6n1p261</t>
  </si>
  <si>
    <t>EU negotiated; Government; Performance; Public goals; Roles of governments</t>
  </si>
  <si>
    <t>building rural community resilience: the case of gem extraction in flood-affected areas of sri lanka</t>
  </si>
  <si>
    <t>Karunarathne A.Y.; Gress D.R.</t>
  </si>
  <si>
    <t>Sri Lankan gem mining and extractive industry communities experience enormous amounts of devastation from mass flooding events. Despite the pressing importance of understanding Gem Mining Community Resilience (GMCR) vis-à-vis community flood disaster management, the topic remains under researched. In order to address this gap in the extant literature, this study investigates the resilience of Sri Lankan gem mining communities’ social support network legacies (mitigation and adaptation) in response to a 2017 mass flooding event. Survey data were collected from 167 flood-affected gem mining households (GMHs) in fifteen local administrative units (GNDs) located in two Sri Lankan divisional secretariat divisions (DSDs). Social Network Analysis (SNA) is deployed to investigate the changing contours of social support network centralities before, during, and after the flooding event. Results suggest that the social support network legacies of the surveyed communities evolved over different flood-inundation phases in different geographical settings, thus improving GMCR. Flood inundation depth impacted network activities as well. Multi-actor social support networks working in concert with social capital legacies have shaped the processes of resource mobilization and flood victim livelihood revivification. These mitigation and adaptation practices, along with a GMCR framework developed in the study, may impart lessons for local and national policy, as well as for gem mining communities in other developing countries. © 2023 Elsevier Ltd</t>
  </si>
  <si>
    <t>10.1016/j.exis.2023.101365</t>
  </si>
  <si>
    <t>Extractive industries; Flood disasters; Gem mining; Gem mining community resilience (GMCR); Social support network legacies; Sri Lanka</t>
  </si>
  <si>
    <t>proceedings - 2016 international conference on smart grid and electrical automation, icsgea 2016</t>
  </si>
  <si>
    <t>The proceedings contain 74 papers. The topics discussed include: thinking of planning and grid connection for large-scale wind power base; research and application of monitoring online system for relay; research on smart meter appearance detection based on unified LBP algorithm; the research about influence of voltage sag on high-pressure sodium lamp; plane design of digital community based on 3dmax; research on the hydropower science and technology in the era of big data based on data mining; simulation and analysis of air conditioning system energy consumption based on staged building energy saving design; the study on discussion of web service-based bidding decision support system of power generation enterprises; and urban sports level evaluation based on improved fuzzy analytic hierarchy process.</t>
  </si>
  <si>
    <t>landslide risk, resilience and resistance: confronting community resilience with economic benefits in landslide-prone areas in kerala</t>
  </si>
  <si>
    <t>Landslides are increasingly posing challenges to disaster risk management institutions in countries like India. Unlike other disaster risk reduction measures that include community-based resilience, it is a challenging task in the present context of development. Landslide-prone areas in India are not just risky geographical regions with vulnerable people; instead these are ‘emerging economic zones’. The economic value of these regions displaces the risk and hence, state governments and central government often find it difficult to promote community-based resilience in landslide-prone areas. The community often interprets resilience as resistance. Community-based resilience in landslide-prone area never follows the general theoretical position on resilience as the ability to bounce back. Large-scale concentrations of quarry industries in the landslide-prone areas of Kerala limit the community mobility as resilience. The idea of resilience converged into resistance in the landslide susceptible areas in Kerala. Resistance becomes an easy method rather than building resilience. Copyright © 2021 Inderscience Enterprises Ltd.</t>
  </si>
  <si>
    <t>10.1504/IJEM.2021.118769</t>
  </si>
  <si>
    <t>Community mobility; Landslide; Movement; Quarry industries; Resilience</t>
  </si>
  <si>
    <t>Disasters; Geographical regions; Quarries; Risk assessment; Risk management; Community mobility; Community resiliences; Community-based; Disaster risk reductions; Economic benefits; Landslide-prone areas; Movement; Quarry industry; Resilience; Risks management; article; controlled study; disaster mitigation; government; human; India; landslide; theoretical study; vulnerable population; Landslides</t>
  </si>
  <si>
    <t>opportunities and choices during environmental licensing: community participation in latin america’s extractive sectors</t>
  </si>
  <si>
    <t>Jaskoski M.</t>
  </si>
  <si>
    <t>In many Latin American countries, the state is to inform communities about proposed large-scale development that affects them, often in a public hearing on the environmental impact study (estudio de impacto ambiental, EIA). This article explores the role of the EIA public hearing in environmental governance, specifically in terms of local community participation in extractives. Analysis of nine mining and hydrocarbon conflicts in Colombia and Peru reveals that sometimes the public hearing is a space for project opponents alone to participate intensively, with a focus on altering development outcomes; in other cases, activists and project supporters compete at hearings; and, finally, some communities eschew the hearing entirely. The study points to two factors to explain this variation: first, whether the public hearing is a mandatory stage in environmental licensing, and second, the cohesion of impacted communities. Running counter to existing criticisms of the structures that govern public hearings in Colombian environmental licensing, the article finds that the hurdle for Colombian communities of requesting the hearing has contributed to effective organizing by movements opposed to large-scale development. © The Author(s), under exclusive licence to Springer Science+Business Media, LLC, part of Springer Nature 2024.</t>
  </si>
  <si>
    <t>10.1007/s12116-023-09416-w</t>
  </si>
  <si>
    <t>Colombia; Environmental impact assessment; Environmental licensing; Extractive industry; Hydrocarbons; Mining; Participatory institution; Peru; Protest; Resource conflict</t>
  </si>
  <si>
    <t>Peru; conflict management; environmental impact assessment; environmental policy; hydrocarbon exploration; Latino people; mining industry; oil industry; participatory approach; popular protest</t>
  </si>
  <si>
    <t>resilience in pontifical doctrines: from pope benedict xvi to pope francis</t>
  </si>
  <si>
    <t>Figus-Illinyi R.</t>
  </si>
  <si>
    <t>This study explores the concept of resilience within the teachings of Popes Benedict XVI and Francis, comparing these with established psychological resilience theories by Ungar and Holling. Through a comprehensive analysis of documents sourced from the Vatican’s official website, resilience is examined across individual, community, and global dimensions. Individual resilience emphasizes spiritual resources such as faith and hope, which Pope Benedict XVI and Pope Francis underscore as essential for overcoming personal and societal crises. Community resilience is highlighted in the context of solidarity, cooperation, and cultural identity, as demonstrated in responses to natural disasters and sociopolitical challenges. At a global level, Pope Francis advocates ecological sustainability and systemic justice, tying resilience to shared responsibilities and global solidarity. Methods include textual frequency analysis and semantic mapping of resilience-related terms within papal documents, complemented by a comparative analysis with psychological resilience frameworks. Findings reveal unique contributions of papal teachings, such as the integration of spiritual, moral, and ecological dimensions, which expand traditional resilience concepts. This theological lens adds normative and prescriptive elements, offering transformative perspectives for resilience studies, emphasizing faith, values, and sustainability as pivotal components for enduring and thriving amidst adversity. Limitations of data mining methods suggest potential for further interdisciplinary research. © 2025 by the author.</t>
  </si>
  <si>
    <t>10.3390/rel16020219</t>
  </si>
  <si>
    <t>crisis; global and regional stability; popes; psychology; resilience</t>
  </si>
  <si>
    <t>exploring two decades of research in community resilience: a content analysis across the international literature</t>
  </si>
  <si>
    <t>Fan Y.; Lyu X.</t>
  </si>
  <si>
    <t>Introduction: Community resilience (CR) has gradually become a hot topic in uncertain times, especially in the last five years. The current study presents a systematic review based on content analysis to present a knowledge graph of CR research over the last 20 years. Methods: We use an approach of Leximancer to conduct the content analysis to explore the intellectual foundations, research context, topics, and methods of CR literature based on 583 published studies. Results: The results show that framework research of CR is a hot topic throughout the last 20 years. In the first stage (from 2001 to 2015), CR connected with the themes of “frame-work, disaster, change, and model”. Comparatively, in the second stage (from 2016 to 2020), the themes of “social capital, capacity, and framework” are more salient connecting with CR. Additionally, the study detected that the key issues varied across countries. Specifically, research in the US focused on the social support dynamic, while in Australia, recovery from the disaster was the predominant theme. Furthermore, in the UK, studies mostly explore resilience issues in the background related to flooding. Discussion: Our findings provide a comprehensive picture of CR research covering the last 20 years and put forward thoughts and recommendations for future resilience studies con-sidering 1) obstacles within daily life, 2) resilience set within organizational perspectives, and 3) cultural context. © 2021 Fan and Lyu.</t>
  </si>
  <si>
    <t>10.2147/PRBM.S329829</t>
  </si>
  <si>
    <t>Community resilience; Content analysis; Cross-country comparison; Text mining</t>
  </si>
  <si>
    <t>article; Australia; content analysis; disaster; flooding; human; mining; social capital; social support; systematic review</t>
  </si>
  <si>
    <t>how do electric vehicles impact community resilience? a bi-layer network perspective</t>
  </si>
  <si>
    <t>Zhang C.; Lin H.; Hao H.; Chen Y.</t>
  </si>
  <si>
    <t>Understanding how electric vehicles (EVs) affect community resilience is critical for disaster management. This study proposes a bi-layer network model that links resilience capacities with impact modes, based on empirical evidence mined from social media. Using a large language model (LLM)-assisted approach, we extract triplets from each post–resilience capacity, impact mode, and impact polarity (positive or negative)–and construct separate networks for positive and negative impacts. The positive network is denser and more interconnected, while the negative network is more fragmented, reflecting localized vulnerabilities. Community detection reveals clustered impact patterns, ranging from technical issues to social support. Capacities such as resource volume and social vulnerability are highly sensitive to both benefits and drawbacks of EVs, whereas social support and community bond show consistently positive associations. These findings underscore the dual role of EVs as both resilience enablers and potential stressors, informing adaptive and inclusive strategies for disaster management. © 2025 Elsevier Ltd</t>
  </si>
  <si>
    <t>10.1016/j.trd.2025.105075</t>
  </si>
  <si>
    <t>Community resilience; Disaster management; Network modeling; Social media mining</t>
  </si>
  <si>
    <t>Disasters; Electric vehicles; Network layers; Population dynamics; Social networking (online); Bi-layer; Community resiliences; Disaster management; Impact mode; Layer networks; Mode-based; Network models; Social media minings; Social support; Vehicle impact; adaptive management; disaster management; electric vehicle; media role; social media; strategic approach; transportation planning; transportation system; vulnerability; Disaster prevention</t>
  </si>
  <si>
    <t>social and geographical disparities in twitter use during hurricane harvey</t>
  </si>
  <si>
    <t>Zou L.; Lam N.S.N.; Shams S.; Cai H.; Meyer M.A.; Yang S.; Lee K.; Park S.-J.; Reams M.A.</t>
  </si>
  <si>
    <t>Social media such as Twitter is increasingly being used as an effective platform to observe human behaviors in disastrous events. However, uneven social media use among different groups of population in different regions could lead to biased consequences and affect disaster resilience. This paper studies the Twitter use during 2017 Hurricane Harvey in 76 counties in Texas and Louisiana. We seek to answer a fundamental question: did social-geographical disparities of Twitter use exist during the three phases of emergency management (preparedness, response, recovery)? We employed a Twitter data mining framework to process the data and calculate two indexes: Ratio and Sentiment. Regression analyses between the Ratio indexes and the social-geographical characteristics of the counties at the three phrases reveal significant social and geographical disparities in Twitter use during Hurricane Harvey. Communities with higher disaster-related Twitter use in Harvey generally were communities having better social and geographical conditions. These results of Twitter use patterns can be used to compare with future similar studies to see whether the Twitter use disparities have increased or decreased. Future research is also needed to examine the effects of Twitter use disparities on disaster resilience and to test whether Twitter use can predict community resilience. © 2018, © 2018 Informa UK Limited, trading as Taylor &amp; Francis Group.</t>
  </si>
  <si>
    <t>10.1080/17538947.2018.1545878</t>
  </si>
  <si>
    <t>digital divide; emergency management; Hurricane Harvey; social and geographical disparities; Social media; Twitter</t>
  </si>
  <si>
    <t>Louisiana; Texas; United States; Behavioral research; Civil defense; Data mining; Disasters; Hurricanes; Regression analysis; Risk management; Digital divide; Emergency management; social and geographical disparities; Social media; Twitter; data mining; disaster management; future prospect; hurricane event; prediction; social media; Social networking (online)</t>
  </si>
  <si>
    <t>climate change, mining and traditional indigenous knowledge in australia</t>
  </si>
  <si>
    <t>Birch T.</t>
  </si>
  <si>
    <t>Australia, in common with nations globally, faces an immediate and future environmental and economic challenge as an outcome of climate change. Indigenous communities in Australia, some who live a precarious economic and social existence, are particularly vulnerable to climate change. Impacts are already being experienced through dramatic weather events such as floods and bushfires. Other, more gradual changes, such as rising sea levels in the north of Australia, will have long-term negative consequences on communities, including the possibility of forced relocation. Climate change is also a historical phenomenon, and Indigenous communities hold a depth of knowledge of climate change and its impact on local ecologies of benefit to the wider community when policies to deal with an increasingly warmer world are considered. Non-Indigenous society must respect this knowledge and facilitate alliances with Indigenous communities based on a greater recognition of traditional knowledge systems. © 2016 by the author; licensee Cogitatio (Lisbon, Portugal).</t>
  </si>
  <si>
    <t>10.17645/si.v4i1.442</t>
  </si>
  <si>
    <t>Australia; Climate change; Indigenous knowledge; Interconnection; Two-way learning; Wellbeing</t>
  </si>
  <si>
    <t>community transcriptomics reveals unexpected high microbial diversity in acidophilic biofilm communities</t>
  </si>
  <si>
    <t>Goltsman D.S.A.; Comolli L.R.; Thomas B.C.; Banfield J.F.</t>
  </si>
  <si>
    <t>A fundamental question in microbial ecology relates to community structure, and how this varies across environment types. It is widely believed that some environments, such as those at very low pH, host simple communities based on the low number of taxa, possibly due to the extreme environmental conditions. However, most analyses of species richness have relied on methods that provide relatively low ribosomal RNA (rRNA) sampling depth. Here we used community transcriptomics to analyze the microbial diversity of natural acid mine drainage biofilms from the Richmond Mine at Iron Mountain, California. Our analyses target deep pools of rRNA gene transcripts recovered from both natural and laboratory-grown biofilms across varying developmental stages. In all, 91.8% of the ∼254 million Illumina reads mapped to rRNA genes represented in the SILVA database. Up to 159 different taxa, including Bacteria, Archaea and Eukaryotes, were identified. Diversity measures, ordination and hierarchical clustering separate environmental from laboratory-grown biofilms. In part, this is due to the much larger number of rare members in the environmental biofilms. Although Leptospirillum bacteria generally dominate biofilms, we detect a wide variety of other Nitrospira organisms present at very low abundance. Bacteria from the Chloroflexi phylum were also detected. The results indicate that the primary characteristic that has enabled prior extensive cultivation-independent 'omic' analyses is not simplicity but rather the high dominance by a few taxa. We conclude that a much larger variety of organisms than previously thought have adapted to this extreme environment, although only few are selected for at any one time. © 2015 International Society for Microbial Ecology All rights reserved.</t>
  </si>
  <si>
    <t>10.1038/ismej.2014.200</t>
  </si>
  <si>
    <t>Archaea; Bacteria; Biodiversity; Biofilms; Eukaryota; Gene Expression Profiling; Genes, rRNA; Hydrogen-Ion Concentration; Mining; Phylogeny; Water Microbiology; California; Iron Mountain; Richmond Mine; United States; Chloroflexi; Chloroflexi (class); Eukaryota; Leptospirillum; Nitrospira; abundance; acid mine drainage; acidophily; biofilm; community structure; dominance; microbial community; microbial ecology; species diversity; species richness; archaeon; bacterium; biodiversity; biofilm; classification; eukaryote; gene expression profiling; genetics; microbiology; mining; pH; phylogeny; RNA gene</t>
  </si>
  <si>
    <t>community-based integrated watershed management in the congo basin: realities and perspectives</t>
  </si>
  <si>
    <t>Awazi N.P.; Nfornkah B.N.; Chimi C.D.; Alemagi D.; Enongene K.; Nkondjoua A.D.T.; Okala S.; Fobissie K.</t>
  </si>
  <si>
    <t>Global warming, climate change, and harmful anthropogenic activities are adversely impacting watersheds in the Congo Basin subregion. This has inspired different community-based integrated watershed management initiatives in the subregion geared toward safeguarding watersheds. This chapter seeks to understand the situation of community-based integrated watershed management in the Congo Basin and proffer recommendations for more sustainable watershed management. This chapter draws inspiration from published works on watersheds and watershed management in the subregion. Findings reveal that watersheds in the subregion provide different products and services (ecosystem services), including climate regulation, fish and fiber, flood regulation, water supply, coastal protection, medicinal products, sand, water purification, timber and nontimber forest products, and recreational opportunities, (eco)tourism. These watersheds are, however, degrading at an alarming rate largely due to anthropogenic activities such as agriculture, grazing, settlement/urbanization, wildfires, wanton harvesting of timber and nontimber forest products, mining, and climate change. Community-based integrated watershed management initiatives have contributed enormously toward improving and/or restoring degraded watersheds through afforestation and reforestation campaigns, participatory approaches to decision-making, awareness raising and capacity-building, and the establishment of sustainable watershed management plans. Challenges to community-based watershed management in the Congo Basin include the large size of watersheds, nonparticipation of some key stakeholders, power tussles especially between experts and lay persons, conflicting management goals that put stakeholders at loggerheads, and inadequate funding to accomplish long-term goals. Community-based integrated watershed management is therefore the right path to take to ensure the sustainable management of watersheds in the Congo Basin subregion. © 2025 Elsevier Inc. All rights reserved.</t>
  </si>
  <si>
    <t>10.1016/B978-0-443-29993-3.00023-0</t>
  </si>
  <si>
    <t>community-based watershed management; Congo Basin; integrated watershed management; water; Watershed; watershed degradation; watershed ecosystem services</t>
  </si>
  <si>
    <t>Anthropogenic; Ecosystems; Flood control; Global warming; Reforestation; Shore protection; Soil conservation; Sustainable development; Timber; Water; Water conservation; Water management; Anthropogenic activity; Community-based; Community-based watershed management; Community-based watersheds; Congo basins; Ecosystem services; Integrated watershed management; Watershed degradation; Watershed ecosystem service; Watersheds management; Watersheds</t>
  </si>
  <si>
    <t>roles and responsibilities of stakeholders involved in local-level flood risk management: a study in the deduru oya basin in sri lanka</t>
  </si>
  <si>
    <t>Wanninayake S.B.; Nianthi R.; Dayarathne Banda O.G.</t>
  </si>
  <si>
    <t>Purpose: Disasters are occurring worldwide, and Sri Lanka has also become a victim of multiple disasters. Though there is a disaster management mechanism from the national level to the local level in Sri Lanka, several gaps are identified in pre- and postdisaster management activities. Among them, the responsibilities of local-level stakeholders in flood management activities are not performing at a satisfactory level. Therefore, the flood damage from the previous events was too great. Accordingly, the purpose of this study is to assess the roles, responsibilities and performance of stakeholders involved in local-level flood risk management activities. Design/methodology/approach: The Deduru Oya basin in Sri Lanka was selected as the study area. The study hypothesized that “ineffective roles, responsibilities and performance of local level stakeholders have weakened the flood risk management in the Deduru Oya basin.” The stratified random sampling method selected the sample (n = 425) from the flood-vulnerable population. Primary data were collected through a questionnaire survey, key informant interviews and field observations. Secondary data were collected from reports, work plans, journal papers and published maps. Descriptive data analysis methods and thematic data analysis methods were used in the study. Findings: About 69% of the respondents state that they are not satisfied with the involvement of government agencies in local-level flood risk management activities, while 10% of the respondents state that they are satisfied. The thematic analysis reveals several gaps, such as the lack of reservations in the Deduru Oya, improper land use practices, no inundation areas are identified and mapped out and the effects of illegal sand mining in the Deduru Oya. In addition to that, the lack of legal power vested in local governments in disaster management and the weaknesses of current legislation on flood risk management are the other major courses of local-level ineffectiveness. Research limitations/implications: The current research was limited to studying the involvement of local-level stakeholders in flood risk management, but the involvement of subnational and national-level stakeholders should be studied in future research. Originality/value: This paper examines the involvement of local-level stakeholders in flood risk management. The results of the study confirm that the roles and responsibilities of local-level stakeholders are not well-defined and mandated, and therefore, the performance of stakeholders involved is minimal. Therefore, the results highlight the need for a well-established community-based flood risk management mechanism. © 2024, Emerald Publishing Limited.</t>
  </si>
  <si>
    <t>10.1108/IJDRBE-12-2023-0128</t>
  </si>
  <si>
    <t>Community-based flood management; Deduru Oya; Flood; Local-level stakeholders; River basin; Sri Lanka</t>
  </si>
  <si>
    <t>Sri Lanka; disaster management; flood; flood control; government; land use</t>
  </si>
  <si>
    <t>mining city resilience research</t>
  </si>
  <si>
    <t>Tian J.</t>
  </si>
  <si>
    <t>The economic development and increasing population have intensified the demand for mineral products and have led to environmental disasters in mining cities around the world. This paper discusses environmental risks in mining cities by analysing the current situation of environmental disasters that occur at home and abroad. The study draws on the theory of urban resilience and analyses the influencing factors of disastrous occurrence in mining areas. By putting forward the resilience evaluation index system this paper aims to improve the cities' ability to cope with major shocks and chronic stress, and to enhance urban resistance and resilience. The study of urban resilience capacity against uncertain risks involves ecological and engineering resilience, and economic and social resilience. With reference to the statistics of Tangshan city, this paper conducts a comprehensive evaluation, using the cluster analysis method, to calculate the degree of urban resilience and resilience index. The paper also attempts to put forward optimisation statistics for greater capacity of resilience to be achieved in the future urban development process, while providing a basis for improving the mining cities' capability to resist disasters and maintain sustainable development in those places.  © 2019 ICE Publishing: All rights reserved.</t>
  </si>
  <si>
    <t>10.1680/jmuen.18.00038</t>
  </si>
  <si>
    <t>disaster engineering; environment; infrastructure planning</t>
  </si>
  <si>
    <t>China; Hebei; Tangshan; Cluster analysis; Sustainable development; Urban growth; Current situation; Economic development; Environment; Environmental disasters; Environmental risks; Infrastructure planning; Mineral products; Mining cities; Urban analysis; Urban resilience; disaster management; economic development; environmental risk; hazard assessment; infrastructure planning; mineral resource; mining; optimization; population growth; risk assessment; safety; uncertainty analysis; urban development; Disasters</t>
  </si>
  <si>
    <t>Selected</t>
  </si>
  <si>
    <t>Criteria</t>
  </si>
  <si>
    <t>ID</t>
  </si>
  <si>
    <t>excluded</t>
  </si>
  <si>
    <t>text_or_data_mining</t>
  </si>
  <si>
    <t>out_of_scope</t>
  </si>
  <si>
    <t>Journal</t>
  </si>
  <si>
    <t>Type</t>
  </si>
  <si>
    <t># citations</t>
  </si>
  <si>
    <t>Location</t>
  </si>
  <si>
    <t>Mining activities</t>
  </si>
  <si>
    <t>Keywords</t>
  </si>
  <si>
    <t>An Inclusive Approach to Disaster Risk Reduction in Water-Related Hazards for the Mining Industry Prioritizing the Multi-Dimensional Risk Framework for Achieving Sustainable Development</t>
  </si>
  <si>
    <t>Siddique et al.</t>
  </si>
  <si>
    <t>Mine Water and the Environment (</t>
  </si>
  <si>
    <t>Publication</t>
  </si>
  <si>
    <t>China</t>
  </si>
  <si>
    <t>Raw material</t>
  </si>
  <si>
    <t>Mining sector sustainability;Water scarcity;Public–private partnerships;Risk assessment;Acid mine drainage;Groundwater depletion</t>
  </si>
  <si>
    <t>Assessing the Impact of Quarrying as an Environmental Ethic Crisis: A Case Study of Limestone Mining in a Rural Community</t>
  </si>
  <si>
    <t>Kafu-Quvane; Mlaba</t>
  </si>
  <si>
    <t>International Journal of Environmental Research and Public Health</t>
  </si>
  <si>
    <t>South Africa</t>
  </si>
  <si>
    <t>Limestone quarrying</t>
  </si>
  <si>
    <t>environmental ethics; crisis; quarrying</t>
  </si>
  <si>
    <t>BUILDING COMMUNITY RESILIENCE IN MINE IMPACTED COMMUNITIES: A STUDY ON DELIVERY OF HEALTH SERVICES IN PAPUA NEW GUINEA</t>
  </si>
  <si>
    <t xml:space="preserve">Kuir-Ayius </t>
  </si>
  <si>
    <t>Thesis</t>
  </si>
  <si>
    <t>Papua New Guinea</t>
  </si>
  <si>
    <t>Mineral</t>
  </si>
  <si>
    <t>Building rural community resilience: The case of gem extraction in flood-affected areas of Sri Lanka</t>
  </si>
  <si>
    <t>Karunarathne et Gress</t>
  </si>
  <si>
    <t>Extractive Industries and Society</t>
  </si>
  <si>
    <t>Sri Lanka</t>
  </si>
  <si>
    <t>Gem</t>
  </si>
  <si>
    <t>Gem mining community resilience (GMCR); Extractive industries; Flood disasters; Gem mining; Social support network legacies; Sri Lanka</t>
  </si>
  <si>
    <t>Climate change adaptation in Australian mining communities: comparing mining company and local government views and activities</t>
  </si>
  <si>
    <t>Loechel et al.</t>
  </si>
  <si>
    <t>Climatic Change</t>
  </si>
  <si>
    <t>Australia</t>
  </si>
  <si>
    <t>Adaptation; Double exposure; Fringe communities; Forest zone Mining</t>
  </si>
  <si>
    <t>Climate variability and extractivism exposures: Understanding household perspectives on livelihood resilience in rural Ghana</t>
  </si>
  <si>
    <t>Tannor et al.</t>
  </si>
  <si>
    <t>Ghana</t>
  </si>
  <si>
    <t>Mineral;Petroleum;Forestry</t>
  </si>
  <si>
    <t>Community-Based Participatory Research on Urban Environmental Conflicts: Sand Quarries in Northern Bogotá</t>
  </si>
  <si>
    <t>Guzman et al.</t>
  </si>
  <si>
    <t>Land</t>
  </si>
  <si>
    <t>Colombia</t>
  </si>
  <si>
    <t>Sand quarry</t>
  </si>
  <si>
    <t>participatory research; participatory governance; environmental governance; SDG 11; urban</t>
  </si>
  <si>
    <t>Desalination in Chile’s mining regions: Global drivers and local impacts of a technological fix to hydrosocial conflict</t>
  </si>
  <si>
    <t>Odell</t>
  </si>
  <si>
    <t>Journal of Cleaner Production</t>
  </si>
  <si>
    <t>Chile</t>
  </si>
  <si>
    <t>Water desalination; Extractive industries; Climate change; Conflict; Political ecology; Chile</t>
  </si>
  <si>
    <t xml:space="preserve">DISASTER GOVERNANCE AND COMMUNITY RESILIENCE:  THE LAW AND THE ROLE OF SDMAs </t>
  </si>
  <si>
    <t>Goyal</t>
  </si>
  <si>
    <t>International Journal of Disaster Risk Management</t>
  </si>
  <si>
    <t>India</t>
  </si>
  <si>
    <t>Illegal sand mining; quarrying</t>
  </si>
  <si>
    <t>Kerala State Disaster Management Authority; Community Resilience; Kerala floods; Vulnerability; Disaster Governance</t>
  </si>
  <si>
    <t>Downstream impacts of the Madeira Hydroelectric Complex on várzea traditional agriculture and extractivism</t>
  </si>
  <si>
    <t>Lobo et al.</t>
  </si>
  <si>
    <t>Ecology and Society</t>
  </si>
  <si>
    <t>Brazil</t>
  </si>
  <si>
    <t>Dynamics of local impacts in low-carbon transition: Agent-based modeling of lithium mining-community-aquifer interactions in Salar de Atacama, Chile</t>
  </si>
  <si>
    <t>Liu and Agusdinata</t>
  </si>
  <si>
    <t>Lithium</t>
  </si>
  <si>
    <t>Emerging grassroots resilience and flood responses in informal settlements in Accra, Ghana</t>
  </si>
  <si>
    <t>Amoako</t>
  </si>
  <si>
    <t>GeoJournal</t>
  </si>
  <si>
    <t>Sand;Gravel</t>
  </si>
  <si>
    <t>Flood vulnerability; Informal settlement; Adaptive capacity; Social resilience; Accra</t>
  </si>
  <si>
    <t>Geomorphic index alterations and socioeconomic implications: A case study of a Coastal River system in Bangladesh</t>
  </si>
  <si>
    <t>Goswami et al.</t>
  </si>
  <si>
    <t>Progress in Disaster Science</t>
  </si>
  <si>
    <t>Bangladesh</t>
  </si>
  <si>
    <t>GIS-Based Evaluation of Mining-Induced Water-Related Hazards in Pakistan and Integrated Risk Mitigation Strategies</t>
  </si>
  <si>
    <t>Li et al.</t>
  </si>
  <si>
    <t>Water</t>
  </si>
  <si>
    <t>Pakistan</t>
  </si>
  <si>
    <t>inclusive disaster risk reduction (IDRR); water-related hazards; community based approaches; local governance; water resource vulnerability; GIS-based spatial risk mapping</t>
  </si>
  <si>
    <t>Impacts of climate change on the Greek mining industry: perceptions and attitudes among mining industry practitioners operating in the Cyclades</t>
  </si>
  <si>
    <t>Mavrommatis;Damigos</t>
  </si>
  <si>
    <t>Euro-Mediterranean Journal for Environmental Integration</t>
  </si>
  <si>
    <t>Greece</t>
  </si>
  <si>
    <t>Mining sector; climate change ; Perceptions ; Attitudes</t>
  </si>
  <si>
    <t>In Situ Adaptation to Climatic Change: Mineral Industry Responses to Extreme Flooding Events in Queensland, Australia</t>
  </si>
  <si>
    <t>Sharma; Franks</t>
  </si>
  <si>
    <t>Society and Natural Resources</t>
  </si>
  <si>
    <t>Coal; Emerald</t>
  </si>
  <si>
    <t>adaptation; climate change; climatic variability; floods; mining; Queensland; sustainable development</t>
  </si>
  <si>
    <t>Innovative water management using abandoned quarries for urban water supply and flood mitigation</t>
  </si>
  <si>
    <t>RinishaKartheeshwari et al.</t>
  </si>
  <si>
    <t>Environment, Development and Sustainability</t>
  </si>
  <si>
    <t>Quarry; Mine closure</t>
  </si>
  <si>
    <t>Rainfall-runoff ; Water demand ; Evaporation ; Mike 11 NAM ; Hydrological modelling</t>
  </si>
  <si>
    <t>Investigating how climate change adaptation can be incorporated into mine closure and rehabilitation strategies to strengthen social-ecological resilience</t>
  </si>
  <si>
    <t>Schulze</t>
  </si>
  <si>
    <t>Mine closure</t>
  </si>
  <si>
    <t>Landslide risk, resilience and resistance: confronting community resilience with economic benefits in landslide-prone areas in Kerala </t>
  </si>
  <si>
    <t>Irshad</t>
  </si>
  <si>
    <t>International Journal of Emergency Management</t>
  </si>
  <si>
    <t>Mining; quarrying</t>
  </si>
  <si>
    <t>community mobility; landslide; movement; quarry industries;  resilience</t>
  </si>
  <si>
    <t>Lessons learned from flash floods early warning system in a mountainous colombia</t>
  </si>
  <si>
    <t>Luna et al.</t>
  </si>
  <si>
    <t>Environmental Challenges</t>
  </si>
  <si>
    <t>Gold mining</t>
  </si>
  <si>
    <t>Flash floods; Early-warning systems; Multi-hazard early warning systems; Rainfall thresholds</t>
  </si>
  <si>
    <t>Mining amid typhoons: Large-scale mining and typhoon vulnerability in the Philippines</t>
  </si>
  <si>
    <t>Holden</t>
  </si>
  <si>
    <t>Philippines</t>
  </si>
  <si>
    <t>Minerals</t>
  </si>
  <si>
    <t>Philippines; Mining; Typhoons; Climate change</t>
  </si>
  <si>
    <t>Mining Communities from a Resilience Perspective: Managing Disturbance and Vulnerability in Itabira, Brazil</t>
  </si>
  <si>
    <t>Wasylycia-Leis et al.</t>
  </si>
  <si>
    <t>Environmental Management</t>
  </si>
  <si>
    <t>Iron</t>
  </si>
  <si>
    <t>Mining community; Resilience; Sustainability; Governance; Disturbance; Itabira; Brazil</t>
  </si>
  <si>
    <t xml:space="preserve">Mining community resilience explored through sustainable community development and perceptions of community wellbeing. </t>
  </si>
  <si>
    <t>Kanakis</t>
  </si>
  <si>
    <t>Coal mining; iron ore mining; Metallic mining; Quarrying</t>
  </si>
  <si>
    <t>Qi no tu i baba ni qwali (living down by the river): Impacts of flooding and mining on livelihoods</t>
  </si>
  <si>
    <t>Varea</t>
  </si>
  <si>
    <t>Frontiers in Marine Science</t>
  </si>
  <si>
    <t>Fiji</t>
  </si>
  <si>
    <t>Mineral (iron); Quarrying</t>
  </si>
  <si>
    <t>marine governance; livelihoods;  flooding; mining; Fiji; Pacific island communities</t>
  </si>
  <si>
    <t>Resilient city and flood disaster mitigation adaptation community-based in Samarinda City</t>
  </si>
  <si>
    <t>Alwin et al.</t>
  </si>
  <si>
    <t>Journal of Urban Management</t>
  </si>
  <si>
    <t>Indonesia</t>
  </si>
  <si>
    <t>Sustainable Water-Related Hazards Assessment in Open Pit-to-Underground Mining Transitions: An IDRR and MCDM Approach at Sijiaying Iron Mine, China</t>
  </si>
  <si>
    <t>Sustainability</t>
  </si>
  <si>
    <t>water-related hazards; sustainable mining; open pit-to-underground transition; IDRR; MCDM; spatiotemporal modeling; SDG alignment; environmental impact assessment</t>
  </si>
  <si>
    <t>Synthesis of Small-Scale Mining Community Flood Vulnerability and Resilience Strategy in Ghana</t>
  </si>
  <si>
    <t>Bondinuba et al.</t>
  </si>
  <si>
    <t>Decarbonization or Demise - Sustainable Solutions for Resilient Communities Selected Papers from the International Conference of Sustainable Ecological Engineering Design for Society (SEEDS) 2023</t>
  </si>
  <si>
    <t>Vulnerability Assessment of Mine Flooding Disaster Induced by Rainstorm Based on Tri-AHP</t>
  </si>
  <si>
    <t>Sun et al.</t>
  </si>
  <si>
    <t>Coal mining</t>
  </si>
  <si>
    <t>Tri-AHP; coal mine; rainstorm; well flooding; vulnerability; risk assessment; environmental sustainability</t>
  </si>
  <si>
    <t>not_case_study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</si>
</sst>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ria\Documents\Gitlab\AguasVivas\WP1\T1.1.%20Marco%20contextual\T1.1.2.%20Revision%20de%20la%20literatura\Analisis\query\May_2026\wos-savedrecs.xlsx" TargetMode="External"/><Relationship Id="rId1" Type="http://schemas.openxmlformats.org/officeDocument/2006/relationships/externalLinkPath" Target="file:///C:\Users\maria\Documents\Gitlab\AguasVivas\WP1\T1.1.%20Marco%20contextual\T1.1.2.%20Revision%20de%20la%20literatura\Analisis\query\May_2026\wos-savedrec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aria\Documents\Gitlab\AguasVivas\WP1\T1.1.%20Marco%20contextual\T1.1.2.%20Revision%20de%20la%20literatura\Analisis\query\May_2026\scopus_export_May%2022-2026_ba657e11-f586-42d3-bc53-1884df804295.xlsx" TargetMode="External"/><Relationship Id="rId1" Type="http://schemas.openxmlformats.org/officeDocument/2006/relationships/externalLinkPath" Target="file:///C:\Users\maria\Documents\Gitlab\AguasVivas\WP1\T1.1.%20Marco%20contextual\T1.1.2.%20Revision%20de%20la%20literatura\Analisis\query\May_2026\scopus_export_May%2022-2026_ba657e11-f586-42d3-bc53-1884df8042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sheetName val="Hoja1"/>
      <sheetName val="Criteria"/>
      <sheetName val="NEW_RECORDS"/>
    </sheetNames>
    <sheetDataSet>
      <sheetData sheetId="0"/>
      <sheetData sheetId="1">
        <row r="1">
          <cell r="A1" t="str">
            <v>Article Title</v>
          </cell>
          <cell r="B1" t="str">
            <v>SELECTED</v>
          </cell>
          <cell r="C1" t="str">
            <v>Screening</v>
          </cell>
          <cell r="D1" t="str">
            <v>in corpus</v>
          </cell>
          <cell r="E1" t="str">
            <v>SELECTED 2</v>
          </cell>
          <cell r="F1" t="str">
            <v>Eligibility</v>
          </cell>
        </row>
        <row r="2">
          <cell r="A2" t="str">
            <v>Landslide risk, resilience and resistance: confronting community resilience with economic benefits in landslide-prone areas in Kerala</v>
          </cell>
          <cell r="B2" t="str">
            <v>included</v>
          </cell>
          <cell r="D2" t="str">
            <v>already in corpus</v>
          </cell>
          <cell r="E2" t="str">
            <v>included</v>
          </cell>
        </row>
        <row r="3">
          <cell r="A3" t="str">
            <v>Roles and responsibilities of stakeholders involved in local-level flood risk management: a study in the Deduru Oya basin in Sri Lanka</v>
          </cell>
          <cell r="B3" t="str">
            <v>included</v>
          </cell>
          <cell r="E3" t="str">
            <v>excluded</v>
          </cell>
          <cell r="F3" t="str">
            <v>out_of_scope</v>
          </cell>
        </row>
        <row r="4">
          <cell r="A4" t="str">
            <v>Indicators for the assessment of social resilience in flood-affected communities - A text mining-based methodology</v>
          </cell>
          <cell r="B4" t="str">
            <v>excluded</v>
          </cell>
          <cell r="C4" t="str">
            <v>text_or_data_mining</v>
          </cell>
        </row>
        <row r="5">
          <cell r="A5" t="str">
            <v>Building rural community resilience: The case of gem extraction in flood-affected areas of Sri Lanka</v>
          </cell>
          <cell r="B5" t="str">
            <v>included</v>
          </cell>
          <cell r="D5" t="str">
            <v>already in corpus</v>
          </cell>
          <cell r="E5" t="str">
            <v>included</v>
          </cell>
        </row>
        <row r="6">
          <cell r="A6" t="str">
            <v>Taking Terrain Literally: Grounding Local Adaptation to Corporate Social Responsibility in the Extractive Industries</v>
          </cell>
          <cell r="B6" t="str">
            <v>included</v>
          </cell>
          <cell r="D6" t="str">
            <v>already in corpus</v>
          </cell>
          <cell r="E6" t="str">
            <v>included</v>
          </cell>
        </row>
        <row r="7">
          <cell r="A7" t="str">
            <v>Community is a solution, not a problem: A systematic review on lessons learned during the COVID-19 pandemic on improving the capacity of the last mile through community-based approaches</v>
          </cell>
          <cell r="B7" t="str">
            <v>excluded</v>
          </cell>
          <cell r="C7" t="str">
            <v>area_of_research</v>
          </cell>
        </row>
        <row r="8">
          <cell r="A8" t="str">
            <v>Social resilience and disaster resilience: A strategy in disaster management efforts based on big data analysis in Indonesian's twitter users</v>
          </cell>
          <cell r="B8" t="str">
            <v>excluded</v>
          </cell>
          <cell r="C8" t="str">
            <v>text_or_data_mining</v>
          </cell>
        </row>
        <row r="9">
          <cell r="A9" t="str">
            <v>How do electric vehicles impact community resilience? A bi-Layer network perspective</v>
          </cell>
          <cell r="B9" t="str">
            <v>excluded</v>
          </cell>
          <cell r="C9" t="str">
            <v>area_of_research</v>
          </cell>
        </row>
        <row r="10">
          <cell r="A10" t="str">
            <v>Disaster Impact on Impoverished Area of US: An Inter-Professional Mixed Method Study</v>
          </cell>
          <cell r="B10" t="str">
            <v>included</v>
          </cell>
          <cell r="E10" t="str">
            <v>excluded</v>
          </cell>
          <cell r="F10" t="str">
            <v>out_of_scope</v>
          </cell>
        </row>
        <row r="11">
          <cell r="A11" t="str">
            <v>Eliciting social themes of flood mitigation and community engagement studies through text mining</v>
          </cell>
          <cell r="B11" t="str">
            <v>excluded</v>
          </cell>
          <cell r="C11" t="str">
            <v>text_or_data_mining</v>
          </cell>
        </row>
        <row r="12">
          <cell r="A12" t="str">
            <v>Sustainability Study of Community Disaster Resilience Evolution Trends Based on Dissipative Structure Theory</v>
          </cell>
          <cell r="B12" t="str">
            <v>included</v>
          </cell>
          <cell r="E12" t="str">
            <v>excluded</v>
          </cell>
          <cell r="F12" t="str">
            <v>out_of_scope</v>
          </cell>
        </row>
        <row r="13">
          <cell r="A13" t="str">
            <v>Cyber-Physical-Social Model of Community Resilience by Considering Critical Infrastructure Interdependencies</v>
          </cell>
          <cell r="B13" t="str">
            <v>included</v>
          </cell>
          <cell r="E13" t="str">
            <v>excluded</v>
          </cell>
          <cell r="F13" t="str">
            <v>out_of_scope</v>
          </cell>
        </row>
        <row r="14">
          <cell r="A14" t="str">
            <v>Social capital and institutional complexity in Svalbard: the case of avalanche disaster management</v>
          </cell>
          <cell r="B14" t="str">
            <v>included</v>
          </cell>
          <cell r="E14" t="str">
            <v>excluded</v>
          </cell>
          <cell r="F14" t="str">
            <v>out_of_scope</v>
          </cell>
        </row>
        <row r="15">
          <cell r="A15" t="str">
            <v>Social media-based social-psychological community resilience analysis of five countries on COVID-19</v>
          </cell>
          <cell r="B15" t="str">
            <v>included</v>
          </cell>
          <cell r="E15" t="str">
            <v>excluded</v>
          </cell>
          <cell r="F15" t="str">
            <v>out_of_scope</v>
          </cell>
        </row>
        <row r="16">
          <cell r="A16" t="str">
            <v>Nurse Practitioners: Leaders in All Phases of Disaster Management</v>
          </cell>
          <cell r="B16" t="str">
            <v>excluded</v>
          </cell>
          <cell r="C16" t="str">
            <v>area_of_research</v>
          </cell>
        </row>
        <row r="17">
          <cell r="A17" t="str">
            <v>IPO-Based Evaluation of Sustainable Postdisaster Recovery from Stakeholder Perspectives of the Lushan Earthquake</v>
          </cell>
          <cell r="B17" t="str">
            <v>included</v>
          </cell>
          <cell r="E17" t="str">
            <v>excluded</v>
          </cell>
          <cell r="F17" t="str">
            <v>out_of_scope</v>
          </cell>
        </row>
        <row r="18">
          <cell r="A18" t="str">
            <v>Exploring Two Decades of Research in Community Resilience: A Content Analysis Across the International Literature</v>
          </cell>
          <cell r="B18" t="str">
            <v>included</v>
          </cell>
          <cell r="E18" t="str">
            <v>excluded</v>
          </cell>
          <cell r="F18" t="str">
            <v>not_case_study</v>
          </cell>
        </row>
        <row r="19">
          <cell r="A19" t="str">
            <v>GIS-Based Evaluation of Mining-Induced Water-Related Hazards in Pakistan and Integrated Risk Mitigation Strategies</v>
          </cell>
          <cell r="B19" t="str">
            <v>included</v>
          </cell>
          <cell r="D19" t="str">
            <v>already in corpus</v>
          </cell>
          <cell r="E19" t="str">
            <v>included</v>
          </cell>
        </row>
        <row r="20">
          <cell r="A20" t="str">
            <v>Social and geographical disparities in Twitter use during Hurricane Harvey</v>
          </cell>
          <cell r="B20" t="str">
            <v>excluded</v>
          </cell>
          <cell r="C20" t="str">
            <v>text_or_data_mining</v>
          </cell>
        </row>
        <row r="21">
          <cell r="A21" t="str">
            <v>Examining disaster resilience perception of social media users during the billion-dollar hurricanes</v>
          </cell>
          <cell r="B21" t="str">
            <v>included</v>
          </cell>
          <cell r="F21" t="str">
            <v>out_of_scope</v>
          </cell>
        </row>
        <row r="22">
          <cell r="A22" t="str">
            <v>Defining disaster resilience: comparisons from key stakeholders involved in emergency management in Victoria, Australia</v>
          </cell>
          <cell r="B22" t="str">
            <v>included</v>
          </cell>
          <cell r="F22" t="str">
            <v>out_of_scope</v>
          </cell>
        </row>
        <row r="23">
          <cell r="A23" t="str">
            <v>A cyclone preparedness plan for the coastal blocks of the Indian Sundarban</v>
          </cell>
          <cell r="B23" t="str">
            <v>included</v>
          </cell>
          <cell r="E23" t="str">
            <v>excluded</v>
          </cell>
          <cell r="F23" t="str">
            <v>out_of_scope</v>
          </cell>
        </row>
        <row r="24">
          <cell r="A24" t="str">
            <v>Data Mining for Community Resilience: Understanding Stakeholder Value Systems across Communities in the State of Florida</v>
          </cell>
          <cell r="B24" t="str">
            <v>excluded</v>
          </cell>
          <cell r="C24" t="str">
            <v>text_or_data_mining</v>
          </cell>
        </row>
        <row r="25">
          <cell r="A25" t="str">
            <v>Community resilience: Defense of water and territory in the Sumapaz river basin, Colombia</v>
          </cell>
          <cell r="B25" t="str">
            <v>excluded</v>
          </cell>
          <cell r="C25" t="str">
            <v>not_english</v>
          </cell>
        </row>
        <row r="26">
          <cell r="A26" t="str">
            <v>Community-Based Research as a Mechanism to Reduce Environmental Health Disparities in American Indian and Alaska Native Communities</v>
          </cell>
          <cell r="B26" t="str">
            <v>excluded</v>
          </cell>
          <cell r="C26" t="str">
            <v>area_of_research</v>
          </cell>
        </row>
        <row r="27">
          <cell r="A27" t="str">
            <v>Genetic associations with micronutrient levels identified in immune and gastrointestinal networks</v>
          </cell>
          <cell r="B27" t="str">
            <v>excluded</v>
          </cell>
          <cell r="C27" t="str">
            <v>area_of_research</v>
          </cell>
        </row>
        <row r="28">
          <cell r="A28" t="str">
            <v>Analysing Information Diffusion in Natural Hazards using Retweets-a Case Study of 2018 Winter Storm Diego</v>
          </cell>
          <cell r="B28" t="str">
            <v>excluded</v>
          </cell>
          <cell r="C28" t="str">
            <v>text_or_data_mining</v>
          </cell>
        </row>
        <row r="29">
          <cell r="A29" t="str">
            <v>Participatory research approaches in mining-impacted hydrosocial systems</v>
          </cell>
          <cell r="B29" t="str">
            <v>included</v>
          </cell>
          <cell r="E29" t="str">
            <v>excluded</v>
          </cell>
          <cell r="F29" t="str">
            <v>not_case_study</v>
          </cell>
        </row>
        <row r="30">
          <cell r="A30" t="str">
            <v>Mining Twitter Data for Improved Understanding of Disaster Resilience</v>
          </cell>
          <cell r="B30" t="str">
            <v>excluded</v>
          </cell>
          <cell r="C30" t="str">
            <v>text_or_data_mining</v>
          </cell>
        </row>
        <row r="31">
          <cell r="A31" t="str">
            <v>Stability Control of Slopes in Open-Pit Mines and Resilience Methods for Disaster Prevention in Urban Areas: A Case Study of Fushun West Open Pit Mine</v>
          </cell>
          <cell r="B31" t="str">
            <v>included</v>
          </cell>
          <cell r="E31" t="str">
            <v>excluded</v>
          </cell>
          <cell r="F31" t="str">
            <v>out_of_scope</v>
          </cell>
        </row>
        <row r="32">
          <cell r="A32" t="str">
            <v>Fishing in troubled waters: Revealing genomic signatures of local adaptation in response to freshwater pollutants in two macroinvertebrates</v>
          </cell>
          <cell r="B32" t="str">
            <v>excluded</v>
          </cell>
          <cell r="C32" t="str">
            <v>area_of_research</v>
          </cell>
        </row>
        <row r="33">
          <cell r="A33" t="str">
            <v>Desalination in Chile's mining regions: Global drivers and local impacts of a technological fix to hydrosocial conflict</v>
          </cell>
          <cell r="B33" t="str">
            <v>included</v>
          </cell>
          <cell r="D33" t="str">
            <v>already in corpus</v>
          </cell>
          <cell r="E33" t="str">
            <v>included</v>
          </cell>
        </row>
        <row r="34">
          <cell r="A34" t="str">
            <v>Social innovation, ecological crises and creating mining host community resilience in Southern Africa</v>
          </cell>
          <cell r="B34" t="str">
            <v>included</v>
          </cell>
          <cell r="E34" t="str">
            <v>included</v>
          </cell>
          <cell r="F34" t="str">
            <v>was not included [dec 2025]</v>
          </cell>
        </row>
        <row r="35">
          <cell r="A35" t="str">
            <v>Tracking and Analyzing Public Emotion Evolutions During COVID-19: A Case Study from the Event-Driven Perspective on Microblogs</v>
          </cell>
          <cell r="B35" t="str">
            <v>excluded</v>
          </cell>
          <cell r="C35" t="str">
            <v>text_or_data_mining</v>
          </cell>
        </row>
        <row r="36">
          <cell r="A36" t="str">
            <v>An Inclusive Approach to Disaster Risk Reduction in Water-Related Hazards for the Mining Industry: Prioritizing the Multi-Dimensional Risk Framework for Achieving Sustainable Development</v>
          </cell>
          <cell r="B36" t="str">
            <v>included</v>
          </cell>
          <cell r="E36" t="str">
            <v>included</v>
          </cell>
          <cell r="F36" t="str">
            <v>was not included [nov 2025]</v>
          </cell>
        </row>
        <row r="37">
          <cell r="A37" t="str">
            <v>Dynamics of local impacts in low-carbon transition: Agent-based modeling of lithium mining-community-aquifer interactions in Salar de Atacama, Chile</v>
          </cell>
          <cell r="B37" t="str">
            <v>included</v>
          </cell>
          <cell r="D37" t="str">
            <v>already in corpus</v>
          </cell>
          <cell r="E37" t="str">
            <v>included</v>
          </cell>
        </row>
        <row r="38">
          <cell r="A38" t="str">
            <v>Mining city resilience research</v>
          </cell>
          <cell r="B38" t="str">
            <v>included</v>
          </cell>
          <cell r="E38" t="str">
            <v>excluded</v>
          </cell>
          <cell r="F38" t="str">
            <v>not_case_study</v>
          </cell>
        </row>
        <row r="39">
          <cell r="A39" t="str">
            <v>Mapping the knowledge development and frontier areas of public risk governance research</v>
          </cell>
          <cell r="B39" t="str">
            <v>included</v>
          </cell>
          <cell r="E39" t="str">
            <v>excluded</v>
          </cell>
          <cell r="F39" t="str">
            <v>not_case_study</v>
          </cell>
        </row>
        <row r="40">
          <cell r="A40" t="str">
            <v>Sustainable Water-Related Hazards Assessment in Open Pit-to-Underground Mining Transitions: An IDRR and MCDM Approach at Sijiaying Iron Mine, China</v>
          </cell>
          <cell r="B40" t="str">
            <v>included</v>
          </cell>
          <cell r="D40" t="str">
            <v>already in corpus</v>
          </cell>
          <cell r="E40" t="str">
            <v>included</v>
          </cell>
        </row>
        <row r="41">
          <cell r="A41" t="str">
            <v>Forest restoration can increase the Rio Doce watershed resilience</v>
          </cell>
          <cell r="B41" t="str">
            <v>included</v>
          </cell>
          <cell r="E41" t="str">
            <v>excluded</v>
          </cell>
          <cell r="F41" t="str">
            <v>out_of_scope</v>
          </cell>
        </row>
        <row r="42">
          <cell r="A42" t="str">
            <v>Understanding Infrastructure Resiliency in Chennai, India Using Twitter's Geotags and Texts: A Preliminary Study</v>
          </cell>
          <cell r="B42" t="str">
            <v>excluded</v>
          </cell>
          <cell r="C42" t="str">
            <v>text_or_data_mining</v>
          </cell>
        </row>
        <row r="43">
          <cell r="A43" t="str">
            <v>Leveraging public health nurses for disaster risk communication in Fukushima City: a qualitative analysis of nurses' written records of parenting counseling and peer discussions</v>
          </cell>
          <cell r="B43" t="str">
            <v>excluded</v>
          </cell>
          <cell r="C43" t="str">
            <v>area_of_research</v>
          </cell>
        </row>
        <row r="44">
          <cell r="A44" t="str">
            <v>The evolution of transformative resilience research topics: A data-driven analysis</v>
          </cell>
          <cell r="B44" t="str">
            <v>included</v>
          </cell>
          <cell r="E44" t="str">
            <v>excluded</v>
          </cell>
          <cell r="F44" t="str">
            <v>not_case_study</v>
          </cell>
        </row>
        <row r="45">
          <cell r="A45" t="str">
            <v>Crisis communication in megathrust discourse: Risk preparedness or fear amplification?</v>
          </cell>
          <cell r="B45" t="str">
            <v>included</v>
          </cell>
          <cell r="E45" t="str">
            <v>excluded</v>
          </cell>
          <cell r="F45" t="str">
            <v>not_case_study</v>
          </cell>
        </row>
        <row r="46">
          <cell r="A46" t="str">
            <v>Risk Perception in the Nigua River Basin: Key Determinants and Policy Implications</v>
          </cell>
          <cell r="B46" t="str">
            <v>included</v>
          </cell>
          <cell r="E46" t="str">
            <v>excluded</v>
          </cell>
          <cell r="F46" t="str">
            <v>not_case_study</v>
          </cell>
        </row>
        <row r="47">
          <cell r="A47" t="str">
            <v>Effects of acid mine drainage from collapsed tailings dam on Zambia's human riparian communities: a fuzzy cognitive model perspective</v>
          </cell>
          <cell r="B47" t="str">
            <v>included</v>
          </cell>
          <cell r="E47" t="str">
            <v>included</v>
          </cell>
          <cell r="F47" t="str">
            <v>was not included (2026)</v>
          </cell>
        </row>
        <row r="48">
          <cell r="A48" t="str">
            <v>Extractivist Fractures in the Atacama Desert: An Oasis of Contradictions</v>
          </cell>
          <cell r="B48" t="str">
            <v>included</v>
          </cell>
          <cell r="E48" t="str">
            <v>excluded</v>
          </cell>
          <cell r="F48" t="str">
            <v>out_of_scope</v>
          </cell>
        </row>
        <row r="49">
          <cell r="A49" t="str">
            <v>High-Performing Local Health Departments Relate Their Experiences at Community Engagement in Emergency Preparedness</v>
          </cell>
          <cell r="B49" t="str">
            <v>excluded</v>
          </cell>
          <cell r="C49" t="str">
            <v>area_of_research</v>
          </cell>
        </row>
        <row r="50">
          <cell r="A50" t="str">
            <v>Antimony tolerance and accumulation in a metallicolous and a non-metallicolous population of Salvia spinosa L.</v>
          </cell>
          <cell r="B50" t="str">
            <v>excluded</v>
          </cell>
          <cell r="C50" t="str">
            <v>area_of_research</v>
          </cell>
        </row>
        <row r="51">
          <cell r="A51" t="str">
            <v>Evaluating Surface Stability for Sustainable Development Following Cessation of Mining Exploitation</v>
          </cell>
          <cell r="B51" t="str">
            <v>excluded</v>
          </cell>
          <cell r="C51" t="str">
            <v>area_of_research</v>
          </cell>
        </row>
        <row r="52">
          <cell r="A52" t="str">
            <v>Association between EMS response time and return of spontaneous circulation in out-of-hospital cardiac arrest patients in Busan, South Korea</v>
          </cell>
          <cell r="B52" t="str">
            <v>excluded</v>
          </cell>
          <cell r="C52" t="str">
            <v>area_of_research</v>
          </cell>
        </row>
        <row r="53">
          <cell r="A53" t="str">
            <v>Downstream impacts of the Madeira Hydroelectric Complex on várzea traditional agriculture and extractivism</v>
          </cell>
          <cell r="B53" t="str">
            <v>included</v>
          </cell>
          <cell r="E53" t="str">
            <v>included</v>
          </cell>
          <cell r="F53" t="str">
            <v>was not included (sept 2025)</v>
          </cell>
        </row>
        <row r="54">
          <cell r="A54" t="str">
            <v>Advancing Athens' circular economy: sewer mining for urban water reclamation</v>
          </cell>
          <cell r="B54" t="str">
            <v>excluded</v>
          </cell>
          <cell r="C54" t="str">
            <v>area_of_research</v>
          </cell>
        </row>
        <row r="55">
          <cell r="A55" t="str">
            <v>Geomorphic index alterations and socioeconomic implications: A case study of a Coastal River system in Bangladesh</v>
          </cell>
          <cell r="B55" t="str">
            <v>included</v>
          </cell>
          <cell r="D55" t="str">
            <v>already in corpus</v>
          </cell>
          <cell r="E55" t="str">
            <v>included</v>
          </cell>
        </row>
        <row r="56">
          <cell r="A56" t="str">
            <v>Variations in microbial community structure and extracellular enzyme stoichiometry in heavy metal-contaminated soil under different fertilization regimes</v>
          </cell>
          <cell r="B56" t="str">
            <v>excluded</v>
          </cell>
          <cell r="C56" t="str">
            <v>area_of_research</v>
          </cell>
        </row>
        <row r="57">
          <cell r="A57" t="str">
            <v>Application of a basin management approach to groundwater utilization in the Otavi Mountain Land, Namibia</v>
          </cell>
          <cell r="B57" t="str">
            <v>included</v>
          </cell>
          <cell r="E57" t="str">
            <v>excluded</v>
          </cell>
          <cell r="F57" t="str">
            <v>out_of_scope</v>
          </cell>
        </row>
        <row r="58">
          <cell r="A58" t="str">
            <v>Assessing the distribution pattern of otters in four rivers of the Indian Himalayan biodiversity hotspot</v>
          </cell>
          <cell r="B58" t="str">
            <v>excluded</v>
          </cell>
          <cell r="C58" t="str">
            <v>area_of_research</v>
          </cell>
        </row>
        <row r="59">
          <cell r="A59" t="str">
            <v>Assessing Hydro-climatological Variability and Land Use Characteristics of the Headwater Basins of the Indian Himalayan Region</v>
          </cell>
          <cell r="B59" t="str">
            <v>included</v>
          </cell>
          <cell r="E59" t="str">
            <v>excluded</v>
          </cell>
          <cell r="F59" t="str">
            <v>out_of_scope</v>
          </cell>
        </row>
        <row r="60">
          <cell r="A60" t="str">
            <v>Brine chemistry matters: Isolation by environment and by distance explain population genetic structure of Artemia franciscana in saline lakes</v>
          </cell>
          <cell r="B60" t="str">
            <v>excluded</v>
          </cell>
          <cell r="C60" t="str">
            <v>area_of_research</v>
          </cell>
        </row>
        <row r="61">
          <cell r="A61" t="str">
            <v>Environmental exposures and pulmonary function among adult residents of rural Appalachian Kentucky</v>
          </cell>
          <cell r="B61" t="str">
            <v>excluded</v>
          </cell>
          <cell r="C61" t="str">
            <v>area_of_research</v>
          </cell>
        </row>
        <row r="62">
          <cell r="A62" t="str">
            <v>IDENTIFICATION OF AREAS SUITABLE TO DESERTIFICATION IN SEASONAL INTERMITTENT BASIN IN THE SEMI-ARID BRAZILIAN</v>
          </cell>
          <cell r="B62" t="str">
            <v>excluded</v>
          </cell>
          <cell r="C62" t="str">
            <v>not_english</v>
          </cell>
        </row>
        <row r="63">
          <cell r="A63" t="str">
            <v>Limnological perspectives on conservation of floodplain lakes in the Amazon basin</v>
          </cell>
          <cell r="B63" t="str">
            <v>excluded</v>
          </cell>
          <cell r="C63" t="str">
            <v>area_of_research</v>
          </cell>
        </row>
        <row r="64">
          <cell r="A64" t="str">
            <v>Changes in wetland habitat use by waterbirds wintering in Czechia are related to diet and distribution changes</v>
          </cell>
          <cell r="B64" t="str">
            <v>excluded</v>
          </cell>
          <cell r="C64" t="str">
            <v>area_of_research</v>
          </cell>
        </row>
        <row r="65">
          <cell r="A65" t="str">
            <v>Adult asthma associated with roadway density and housing in rural Appalachia: the Mountain Air Project (MAP)</v>
          </cell>
          <cell r="B65" t="str">
            <v>excluded</v>
          </cell>
          <cell r="C65" t="str">
            <v>area_of_research</v>
          </cell>
        </row>
        <row r="66">
          <cell r="A66" t="str">
            <v>Correlation between gut dysbiosis, metabolite alterations and erosive hand osteoarthritis - An observational study within the community-based Xiangya Osteoarthritis (XO) cohort</v>
          </cell>
          <cell r="B66" t="str">
            <v>excluded</v>
          </cell>
          <cell r="C66" t="str">
            <v>area_of_research</v>
          </cell>
        </row>
        <row r="67">
          <cell r="A67" t="str">
            <v>A GIS and field-based assessment of the ecological consequences of illegal mining (galamsey) on blackfly breeding sites in Ghana: implications for the sustainable development goals</v>
          </cell>
          <cell r="B67" t="str">
            <v>excluded</v>
          </cell>
          <cell r="C67" t="str">
            <v>area_of_research</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sheetName val="Hoja1"/>
      <sheetName val="STAT"/>
      <sheetName val="to_include"/>
      <sheetName val="Duplicated"/>
      <sheetName val="Elim_dupl"/>
    </sheetNames>
    <sheetDataSet>
      <sheetData sheetId="0"/>
      <sheetData sheetId="1">
        <row r="1">
          <cell r="A1" t="str">
            <v>Title</v>
          </cell>
          <cell r="B1" t="str">
            <v>SELECTED</v>
          </cell>
          <cell r="C1" t="str">
            <v>Screening</v>
          </cell>
          <cell r="D1" t="str">
            <v>SELECTED 2</v>
          </cell>
          <cell r="E1" t="str">
            <v>Eligibility</v>
          </cell>
        </row>
        <row r="2">
          <cell r="A2" t="str">
            <v>A GIS and field-based assessment of the ecological consequences of illegal mining (galamsey) on blackfly breeding sites in Ghana: implications for the sustainable development goals</v>
          </cell>
          <cell r="B2" t="str">
            <v>included</v>
          </cell>
          <cell r="D2" t="str">
            <v>excluded</v>
          </cell>
          <cell r="E2" t="str">
            <v>out_of_scope</v>
          </cell>
        </row>
        <row r="3">
          <cell r="A3" t="str">
            <v>Assessing the sustainability of acid mine drainage (AMD) treatment in South Africa</v>
          </cell>
          <cell r="B3" t="str">
            <v>included</v>
          </cell>
          <cell r="D3" t="str">
            <v>excluded</v>
          </cell>
          <cell r="E3" t="str">
            <v>out_of_scope</v>
          </cell>
        </row>
        <row r="4">
          <cell r="A4" t="str">
            <v>Crisis communication in megathrust discourse: Risk preparedness or fear amplification?</v>
          </cell>
          <cell r="B4" t="str">
            <v>included</v>
          </cell>
          <cell r="D4" t="str">
            <v>excluded</v>
          </cell>
          <cell r="E4" t="str">
            <v>out_of_scope</v>
          </cell>
        </row>
        <row r="5">
          <cell r="A5" t="str">
            <v>Social media use in disaster response: empowering community resilience</v>
          </cell>
          <cell r="B5" t="str">
            <v>excluded</v>
          </cell>
          <cell r="C5" t="str">
            <v>text_or_data_mining</v>
          </cell>
        </row>
        <row r="6">
          <cell r="A6" t="str">
            <v>Cyber-Physical-Social Model of Community Resilience by Considering Critical Infrastructure Interdependencies</v>
          </cell>
          <cell r="B6" t="str">
            <v>included</v>
          </cell>
          <cell r="D6" t="str">
            <v>excluded</v>
          </cell>
          <cell r="E6" t="str">
            <v>out_of_scope</v>
          </cell>
        </row>
        <row r="7">
          <cell r="A7" t="str">
            <v>Desalination in Chile's mining regions: Global drivers and local impacts of a technological fix to hydrosocial conflict</v>
          </cell>
          <cell r="B7" t="str">
            <v>included</v>
          </cell>
          <cell r="D7" t="str">
            <v>included</v>
          </cell>
          <cell r="E7" t="str">
            <v>already in corpus</v>
          </cell>
        </row>
        <row r="8">
          <cell r="A8" t="str">
            <v>Analysing Information Diffusion in Natural Hazards using Retweets - a Case Study of 2018 Winter Storm Diego</v>
          </cell>
          <cell r="B8" t="str">
            <v>excluded</v>
          </cell>
          <cell r="C8" t="str">
            <v>text_or_data_mining</v>
          </cell>
        </row>
        <row r="9">
          <cell r="A9" t="str">
            <v>Assessment of online public opinions on large infrastructure projects: A case study of the Three Gorges Project in China</v>
          </cell>
          <cell r="B9" t="str">
            <v>excluded</v>
          </cell>
          <cell r="C9" t="str">
            <v>text_or_data_mining</v>
          </cell>
        </row>
        <row r="10">
          <cell r="A10" t="str">
            <v>ENVIRONMENTAL DEGRADATION AND LAND USE CHANGE: AN INTERDISCIPLINARY ECOLOGICAL PERSPECTIVE</v>
          </cell>
          <cell r="B10" t="str">
            <v>included</v>
          </cell>
          <cell r="D10" t="str">
            <v>excluded</v>
          </cell>
          <cell r="E10" t="str">
            <v>not_case_study</v>
          </cell>
        </row>
        <row r="11">
          <cell r="A11" t="str">
            <v>Social resilience and disaster resilience: A strategy in disaster management efforts based on big data analysis in Indonesian's twitter users</v>
          </cell>
          <cell r="B11" t="str">
            <v>excluded</v>
          </cell>
          <cell r="C11" t="str">
            <v>text_or_data_mining</v>
          </cell>
        </row>
        <row r="12">
          <cell r="A12" t="str">
            <v>Participatory research approaches in mining-impacted hydrosocial systems</v>
          </cell>
          <cell r="B12" t="str">
            <v>included</v>
          </cell>
          <cell r="D12" t="str">
            <v>excluded</v>
          </cell>
          <cell r="E12" t="str">
            <v>not_case_study</v>
          </cell>
        </row>
        <row r="13">
          <cell r="A13" t="str">
            <v>Social Media Data Mining of Stakeholder Value Systems on Community Resilience in Florida</v>
          </cell>
          <cell r="B13" t="str">
            <v>excluded</v>
          </cell>
          <cell r="C13" t="str">
            <v>text_or_data_mining</v>
          </cell>
        </row>
        <row r="14">
          <cell r="A14" t="str">
            <v>Integrating the Bruun rule with sediment compatibility analysis for shoreline change evaluation under water level fall</v>
          </cell>
          <cell r="B14" t="str">
            <v>excluded</v>
          </cell>
          <cell r="C14" t="str">
            <v>area_of_research</v>
          </cell>
        </row>
        <row r="15">
          <cell r="A15" t="str">
            <v>Risk Perception in the Nigua River Basin: Key Determinants and Policy Implications</v>
          </cell>
          <cell r="B15" t="str">
            <v>included</v>
          </cell>
          <cell r="D15" t="str">
            <v>excluded</v>
          </cell>
          <cell r="E15" t="str">
            <v>out_of_scope</v>
          </cell>
        </row>
        <row r="16">
          <cell r="A16" t="str">
            <v>Taking Terrain Literally: Grounding Local Adaptation to Corporate Social Responsibility in the Extractive Industries</v>
          </cell>
          <cell r="B16" t="str">
            <v>included</v>
          </cell>
          <cell r="D16" t="str">
            <v>excluded</v>
          </cell>
          <cell r="E16" t="str">
            <v>not_case_study</v>
          </cell>
        </row>
        <row r="17">
          <cell r="A17" t="str">
            <v>Synthesis of Small-Scale Mining Community Flood Vulnerability and Resilience Strategy in Ghana</v>
          </cell>
          <cell r="B17" t="str">
            <v>included</v>
          </cell>
          <cell r="D17" t="str">
            <v>included</v>
          </cell>
          <cell r="E17" t="str">
            <v>to include</v>
          </cell>
        </row>
        <row r="18">
          <cell r="A18" t="str">
            <v>Urban flood drifters (UFD): Identification, classification and characterisation</v>
          </cell>
          <cell r="B18" t="str">
            <v>included</v>
          </cell>
          <cell r="D18" t="str">
            <v>excluded</v>
          </cell>
          <cell r="E18" t="str">
            <v>out_of_scope</v>
          </cell>
        </row>
        <row r="19">
          <cell r="A19" t="str">
            <v>Indicators for the assessment of social resilience in flood-affected communities – A text mining-based methodology</v>
          </cell>
          <cell r="B19" t="str">
            <v>excluded</v>
          </cell>
          <cell r="C19" t="str">
            <v>text_or_data_mining</v>
          </cell>
        </row>
        <row r="20">
          <cell r="A20" t="str">
            <v>YouTube as a crowd-generated water level archive</v>
          </cell>
          <cell r="B20" t="str">
            <v>excluded</v>
          </cell>
          <cell r="C20" t="str">
            <v>text_or_data_mining</v>
          </cell>
        </row>
        <row r="21">
          <cell r="A21" t="str">
            <v>GIS-Based Evaluation of Mining-Induced Water-Related Hazards in Pakistan and Integrated Risk Mitigation Strategies</v>
          </cell>
          <cell r="B21" t="str">
            <v>included</v>
          </cell>
          <cell r="D21" t="str">
            <v>included</v>
          </cell>
          <cell r="E21" t="str">
            <v>already in corpus</v>
          </cell>
        </row>
        <row r="22">
          <cell r="A22" t="str">
            <v>Changes in wetland habitat use by waterbirds wintering in Czechia are related to diet and distribution changes</v>
          </cell>
          <cell r="B22" t="str">
            <v>excluded</v>
          </cell>
          <cell r="C22" t="str">
            <v>area_of_research</v>
          </cell>
        </row>
        <row r="23">
          <cell r="A23" t="str">
            <v>How central water management impacts local livelihoods: An ethnographic case study of mining water extraction in tarapacá, chile</v>
          </cell>
          <cell r="B23" t="str">
            <v>included</v>
          </cell>
          <cell r="D23" t="str">
            <v>excluded</v>
          </cell>
          <cell r="E23" t="str">
            <v>out_of_scope</v>
          </cell>
        </row>
        <row r="24">
          <cell r="A24" t="str">
            <v>Climate Change and Rainfall Extremes in Africa</v>
          </cell>
          <cell r="B24" t="str">
            <v>excluded</v>
          </cell>
          <cell r="C24" t="str">
            <v>area_of_research</v>
          </cell>
        </row>
        <row r="25">
          <cell r="A25" t="str">
            <v>assessment of local community perceptions of biodiversity conservation in the 3S rivers of cambodia: using a knowledge, attitudes, and practices (KAP) approach</v>
          </cell>
          <cell r="B25" t="str">
            <v>excluded</v>
          </cell>
          <cell r="C25" t="str">
            <v>area_of_research</v>
          </cell>
        </row>
        <row r="26">
          <cell r="A26" t="str">
            <v>Addressing the Wicked Problem of Systemic Disaster Risk in the Anthropocene</v>
          </cell>
          <cell r="B26" t="str">
            <v>excluded</v>
          </cell>
          <cell r="C26" t="str">
            <v>area_of_research</v>
          </cell>
        </row>
        <row r="27">
          <cell r="A27" t="str">
            <v>TXT-tool 4.066-1.1 community-based landslide risk management approaches</v>
          </cell>
          <cell r="B27" t="str">
            <v>excluded</v>
          </cell>
          <cell r="C27" t="str">
            <v>text_or_data_mining</v>
          </cell>
        </row>
        <row r="28">
          <cell r="A28" t="str">
            <v>Sustainability Study of Community Disaster Resilience Evolution Trends Based on Dissipative Structure Theory</v>
          </cell>
          <cell r="B28" t="str">
            <v>excluded</v>
          </cell>
          <cell r="C28" t="str">
            <v>area_of_research</v>
          </cell>
        </row>
        <row r="29">
          <cell r="A29" t="str">
            <v>Failed development in global networks, exemplified by extractive industries in Bolivia and Ghana</v>
          </cell>
          <cell r="B29" t="str">
            <v>included</v>
          </cell>
          <cell r="D29" t="str">
            <v>excluded</v>
          </cell>
          <cell r="E29" t="str">
            <v>out_of_scope</v>
          </cell>
        </row>
        <row r="30">
          <cell r="A30" t="str">
            <v>Solastalgia: The distress caused by environmental change</v>
          </cell>
          <cell r="B30" t="str">
            <v>excluded</v>
          </cell>
          <cell r="C30" t="str">
            <v>area_of_research</v>
          </cell>
        </row>
        <row r="31">
          <cell r="A31" t="str">
            <v>Genetic associations with micronutrient levels identified in immune and gastrointestinal networks</v>
          </cell>
          <cell r="B31" t="str">
            <v>excluded</v>
          </cell>
          <cell r="C31" t="str">
            <v>area_of_research</v>
          </cell>
        </row>
        <row r="32">
          <cell r="A32" t="str">
            <v>Environmental exposures and pulmonary function among adult residents of rural Appalachian Kentucky</v>
          </cell>
          <cell r="B32" t="str">
            <v>excluded</v>
          </cell>
          <cell r="C32" t="str">
            <v>area_of_research</v>
          </cell>
        </row>
        <row r="33">
          <cell r="A33" t="str">
            <v>Resilience as Property Value Rebound: Analysis of Expanded Datasets from Hurricanes Ike and Irma</v>
          </cell>
          <cell r="B33" t="str">
            <v>included</v>
          </cell>
          <cell r="D33" t="str">
            <v>excluded</v>
          </cell>
          <cell r="E33" t="str">
            <v>out_of_scope</v>
          </cell>
        </row>
        <row r="34">
          <cell r="A34" t="str">
            <v>Native involvement in strategic assessment of natural resource development: The example of the Crees living in the Canadian taiga</v>
          </cell>
          <cell r="B34" t="str">
            <v>included</v>
          </cell>
          <cell r="D34" t="str">
            <v>excluded</v>
          </cell>
          <cell r="E34" t="str">
            <v>out_of_scope</v>
          </cell>
        </row>
        <row r="35">
          <cell r="A35" t="str">
            <v>32nd International Conference on Information System 2011, ICIS 2011, Volume 3</v>
          </cell>
          <cell r="B35" t="str">
            <v>excluded</v>
          </cell>
          <cell r="C35" t="str">
            <v>area_of_research</v>
          </cell>
        </row>
        <row r="36">
          <cell r="A36" t="str">
            <v>Measuring the 'bounce back' systems of vulnerable communities in KwaZulu-Natal, South Africa</v>
          </cell>
          <cell r="B36" t="str">
            <v>included</v>
          </cell>
          <cell r="D36" t="str">
            <v>excluded</v>
          </cell>
          <cell r="E36" t="str">
            <v>out_of_scope</v>
          </cell>
        </row>
        <row r="37">
          <cell r="A37" t="str">
            <v>Impact of Urbanization on Biodiversity in the Global Biodiversity Hotspot of Sikkim Himalaya, India: A Review</v>
          </cell>
          <cell r="B37" t="str">
            <v>included</v>
          </cell>
          <cell r="D37" t="str">
            <v>excluded</v>
          </cell>
          <cell r="E37" t="str">
            <v>out_of_scope</v>
          </cell>
        </row>
        <row r="38">
          <cell r="A38" t="str">
            <v>Disaster Impact on Impoverished Area of US: An Inter-Professional Mixed Method Study</v>
          </cell>
          <cell r="B38" t="str">
            <v>included</v>
          </cell>
          <cell r="D38" t="str">
            <v>excluded</v>
          </cell>
          <cell r="E38" t="str">
            <v>out_of_scope</v>
          </cell>
        </row>
        <row r="39">
          <cell r="A39" t="str">
            <v>Leveraging public health nurses for disaster risk communication in Fukushima City: A qualitative analysis of nurses' written records of parenting counseling and peer discussions</v>
          </cell>
          <cell r="B39" t="str">
            <v>excluded</v>
          </cell>
          <cell r="C39" t="str">
            <v>area_of_research</v>
          </cell>
        </row>
        <row r="40">
          <cell r="A40" t="str">
            <v>Is Burundi losing the last remnants of its forests? A high-resolution spatial analysis for the identification of areas at deforestation hazard</v>
          </cell>
          <cell r="B40" t="str">
            <v>included</v>
          </cell>
          <cell r="D40" t="str">
            <v>excluded</v>
          </cell>
          <cell r="E40" t="str">
            <v>out_of_scope</v>
          </cell>
        </row>
        <row r="41">
          <cell r="A41" t="str">
            <v>20th International Conference on Web Information Systems Engineering, WISE 2019</v>
          </cell>
          <cell r="B41" t="str">
            <v>excluded</v>
          </cell>
          <cell r="C41" t="str">
            <v>area_of_research</v>
          </cell>
        </row>
        <row r="42">
          <cell r="A42" t="str">
            <v>Geospatial analysis of land degradation and settlement in Barru Regency: Implications for sustainable land management</v>
          </cell>
          <cell r="B42" t="str">
            <v>included</v>
          </cell>
          <cell r="D42" t="str">
            <v>excluded</v>
          </cell>
          <cell r="E42" t="str">
            <v>out_of_scope</v>
          </cell>
        </row>
        <row r="43">
          <cell r="A43" t="str">
            <v>Ecological network construction and resilience optimization of coastal zones in megacity clusters: A case study of the Guangdong–Hong Kong–Macao Greater Bay Area</v>
          </cell>
          <cell r="B43" t="str">
            <v>included</v>
          </cell>
          <cell r="D43" t="str">
            <v>excluded</v>
          </cell>
          <cell r="E43" t="str">
            <v>out_of_scope</v>
          </cell>
        </row>
        <row r="44">
          <cell r="A44" t="str">
            <v>Brine chemistry matters: Isolation by environment and by distance explain population genetic structure of Artemia franciscana in saline lakes</v>
          </cell>
          <cell r="B44" t="str">
            <v>excluded</v>
          </cell>
          <cell r="C44" t="str">
            <v>area_of_research</v>
          </cell>
        </row>
        <row r="45">
          <cell r="A45" t="str">
            <v>IPO-Based Evaluation of Sustainable Postdisaster Recovery from Stakeholder Perspectives of the Lushan Earthquake</v>
          </cell>
          <cell r="B45" t="str">
            <v>included</v>
          </cell>
          <cell r="D45" t="str">
            <v>excluded</v>
          </cell>
          <cell r="E45" t="str">
            <v>out_of_scope</v>
          </cell>
        </row>
        <row r="46">
          <cell r="A46" t="str">
            <v>Limnological perspectives on conservation of floodplain lakes in the Amazon basin</v>
          </cell>
          <cell r="B46" t="str">
            <v>included</v>
          </cell>
          <cell r="D46" t="str">
            <v>excluded</v>
          </cell>
          <cell r="E46" t="str">
            <v>out_of_scope</v>
          </cell>
        </row>
        <row r="47">
          <cell r="A47" t="str">
            <v>Secondary Disaster and Its Management After Earthquakes: A Management Plan Proposal; [Depremlerden Sonra İkincil Afet ve Yönetimi: Bir Yönetim Planı Önerisi]</v>
          </cell>
          <cell r="B47" t="str">
            <v>included</v>
          </cell>
          <cell r="D47" t="str">
            <v>excluded</v>
          </cell>
          <cell r="E47" t="str">
            <v>out_of_scope</v>
          </cell>
        </row>
        <row r="48">
          <cell r="A48" t="str">
            <v>Mining Hazard Risk Reduction and Resilience</v>
          </cell>
          <cell r="B48" t="str">
            <v>included</v>
          </cell>
          <cell r="D48" t="str">
            <v>excluded</v>
          </cell>
          <cell r="E48" t="str">
            <v>not_case_study</v>
          </cell>
        </row>
        <row r="49">
          <cell r="A49" t="str">
            <v>An Inclusive Approach to Disaster Risk Reduction in Water-Related Hazards for the Mining Industry: Prioritizing the Multi-Dimensional Risk Framework for Achieving Sustainable Development</v>
          </cell>
          <cell r="B49" t="str">
            <v>included</v>
          </cell>
          <cell r="D49" t="str">
            <v>included</v>
          </cell>
          <cell r="E49" t="str">
            <v>to include</v>
          </cell>
        </row>
        <row r="50">
          <cell r="A50" t="str">
            <v>New Oil Developments in a Remote Area: Environmental Justice and Participation in Turkana, Kenya</v>
          </cell>
          <cell r="B50" t="str">
            <v>included</v>
          </cell>
          <cell r="D50" t="str">
            <v>excluded</v>
          </cell>
          <cell r="E50" t="str">
            <v>out_of_scope</v>
          </cell>
        </row>
        <row r="51">
          <cell r="A51" t="str">
            <v>Protecting the earth, reading the nature: The disaster mitigation tradition of the Nagari Pauh Kamang Mudik community in the crevice of the limestone hills</v>
          </cell>
          <cell r="B51" t="str">
            <v>included</v>
          </cell>
          <cell r="D51" t="str">
            <v>included</v>
          </cell>
          <cell r="E51" t="str">
            <v>out_of_scope</v>
          </cell>
        </row>
        <row r="52">
          <cell r="A52" t="str">
            <v>Social innovation, ecological crises and creating mining host community resilience in Southern Africa</v>
          </cell>
          <cell r="B52" t="str">
            <v>included</v>
          </cell>
          <cell r="D52" t="str">
            <v>included</v>
          </cell>
          <cell r="E52" t="str">
            <v>to include</v>
          </cell>
        </row>
        <row r="53">
          <cell r="A53" t="str">
            <v>The evolution of transformative resilience research topics: A data-driven analysis</v>
          </cell>
          <cell r="B53" t="str">
            <v>excluded</v>
          </cell>
          <cell r="C53" t="str">
            <v>text_or_data_mining</v>
          </cell>
        </row>
        <row r="54">
          <cell r="A54" t="str">
            <v>A New Method to Detect the Development Situation of Disasters Based on Social Media Co-word Network; [基于社交媒体共词网络的灾情发展态势探测方法]</v>
          </cell>
          <cell r="B54" t="str">
            <v>excluded</v>
          </cell>
          <cell r="C54" t="str">
            <v>text_or_data_mining</v>
          </cell>
        </row>
        <row r="55">
          <cell r="A55" t="str">
            <v>Enhancing disaster management effectiveness: An integrated analysis of key factors and practical strategies through Structural Equation Modeling (SEM) and scopus data text mining</v>
          </cell>
          <cell r="B55" t="str">
            <v>excluded</v>
          </cell>
          <cell r="C55" t="str">
            <v>text_or_data_mining</v>
          </cell>
        </row>
        <row r="56">
          <cell r="A56" t="str">
            <v>Mine ownership and community relations: Comparing hydrosocial dynamics of public and private companies in Chile</v>
          </cell>
          <cell r="B56" t="str">
            <v>included</v>
          </cell>
          <cell r="D56" t="str">
            <v>excluded</v>
          </cell>
          <cell r="E56" t="str">
            <v>out_of_scope</v>
          </cell>
        </row>
        <row r="57">
          <cell r="A57" t="str">
            <v>Effects of acid mine drainage from collapsed tailings dam on Zambia’s human riparian communities: a fuzzy cognitive model perspective</v>
          </cell>
          <cell r="B57" t="str">
            <v>included</v>
          </cell>
          <cell r="D57" t="str">
            <v>included</v>
          </cell>
          <cell r="E57" t="str">
            <v>out_of_scope</v>
          </cell>
        </row>
        <row r="58">
          <cell r="A58" t="str">
            <v>A cyclone preparedness plan for the coastal blocks of the Indian Sundarban</v>
          </cell>
          <cell r="B58" t="str">
            <v>included</v>
          </cell>
          <cell r="D58" t="str">
            <v>excluded</v>
          </cell>
          <cell r="E58" t="str">
            <v>out_of_scope</v>
          </cell>
        </row>
        <row r="59">
          <cell r="A59" t="str">
            <v>Physical Environment and Human Context at Merapi Volcano: A Complex Balance Between Accessing Livelihoods and Coping with Volcanic Hazards</v>
          </cell>
          <cell r="B59" t="str">
            <v>included</v>
          </cell>
          <cell r="D59" t="str">
            <v>excluded</v>
          </cell>
          <cell r="E59" t="str">
            <v>out_of_scope</v>
          </cell>
        </row>
        <row r="60">
          <cell r="A60" t="str">
            <v>From data modeling to algorithmic modeling in the big data era: Water resources security in the asia-pacific region under conditions of climate change</v>
          </cell>
          <cell r="B60" t="str">
            <v>excluded</v>
          </cell>
          <cell r="C60" t="str">
            <v>text_or_data_mining</v>
          </cell>
        </row>
        <row r="61">
          <cell r="A61" t="str">
            <v>Environmental health research recommendations from the inter-environmental health sciences core center working group on unconventional natural gas drilling operations</v>
          </cell>
          <cell r="B61" t="str">
            <v>excluded</v>
          </cell>
          <cell r="C61" t="str">
            <v>area_of_research</v>
          </cell>
        </row>
        <row r="62">
          <cell r="A62" t="str">
            <v>Management of Peatland in the Mekong River Delta of Vietnam</v>
          </cell>
          <cell r="B62" t="str">
            <v>excluded</v>
          </cell>
          <cell r="C62" t="str">
            <v>area_of_research</v>
          </cell>
        </row>
        <row r="63">
          <cell r="A63" t="str">
            <v>Amazonian Freshwater Wetlands: Biodiversity, Livelihoods, and Conservation</v>
          </cell>
          <cell r="B63" t="str">
            <v>excluded</v>
          </cell>
          <cell r="C63" t="str">
            <v>area_of_research</v>
          </cell>
        </row>
        <row r="64">
          <cell r="A64" t="str">
            <v>32nd International Conference on Information System 2011, ICIS 2011, Volume 1</v>
          </cell>
          <cell r="B64" t="str">
            <v>excluded</v>
          </cell>
          <cell r="C64" t="str">
            <v>area_of_research</v>
          </cell>
        </row>
        <row r="65">
          <cell r="A65" t="str">
            <v>Downstream impacts of the Madeira Hydroelectric Complex on várzea traditional agriculture and extractivism</v>
          </cell>
          <cell r="B65" t="str">
            <v>included</v>
          </cell>
          <cell r="D65" t="str">
            <v>included</v>
          </cell>
          <cell r="E65" t="str">
            <v>to include</v>
          </cell>
        </row>
        <row r="66">
          <cell r="A66" t="str">
            <v>Slow Tourism and Smart Community. The Case of Sulcis - Iglesiente (Sardinia -Italy)</v>
          </cell>
          <cell r="B66" t="str">
            <v>excluded</v>
          </cell>
          <cell r="C66" t="str">
            <v>area_of_research</v>
          </cell>
        </row>
        <row r="67">
          <cell r="A67" t="str">
            <v>Stability Control of Slopes in Open-Pit Mines and Resilience Methods for Disaster Prevention in Urban Areas: A Case Study of Fushun West Open Pit Mine</v>
          </cell>
          <cell r="B67" t="str">
            <v>included</v>
          </cell>
          <cell r="D67" t="str">
            <v>excluded</v>
          </cell>
          <cell r="E67" t="str">
            <v>out_of_scope</v>
          </cell>
        </row>
        <row r="68">
          <cell r="A68" t="str">
            <v>Evaluating Surface Stability for Sustainable Development Following Cessation of Mining Exploitation</v>
          </cell>
          <cell r="B68" t="str">
            <v>included</v>
          </cell>
          <cell r="D68" t="str">
            <v>excluded</v>
          </cell>
          <cell r="E68" t="str">
            <v>out_of_scope</v>
          </cell>
        </row>
        <row r="69">
          <cell r="A69" t="str">
            <v>STABILITY CONTROL OF SLOPES IN OPEN-PIT MINES AND RESILIENCE METHODS FOR DISASTER PREVENTION IN URBAN AREAS: A CASE STUDY OF FUSHUN WEST OPEN PIT MINE</v>
          </cell>
          <cell r="B69" t="str">
            <v>included</v>
          </cell>
          <cell r="D69" t="str">
            <v>excluded</v>
          </cell>
          <cell r="E69" t="str">
            <v>out_of_scope</v>
          </cell>
        </row>
        <row r="70">
          <cell r="A70" t="str">
            <v>Peripheral Urban Territories, Disasters and Extreme Events: The Case of Morro Da Boa Vista (Vila Velha, EspÃ­rito Santo, Brazil)</v>
          </cell>
          <cell r="B70" t="str">
            <v>included</v>
          </cell>
          <cell r="D70" t="str">
            <v>excluded</v>
          </cell>
          <cell r="E70" t="str">
            <v>out_of_scope</v>
          </cell>
        </row>
        <row r="71">
          <cell r="A71" t="str">
            <v>A data mining approach for exploring correlates of self-reported comparative physical activity levels of urban Latinos</v>
          </cell>
          <cell r="B71" t="str">
            <v>excluded</v>
          </cell>
          <cell r="C71" t="str">
            <v>text_or_data_mining</v>
          </cell>
        </row>
        <row r="72">
          <cell r="A72" t="str">
            <v>Community resilience assessment and literature analysis</v>
          </cell>
          <cell r="B72" t="str">
            <v>included</v>
          </cell>
          <cell r="D72" t="str">
            <v>excluded</v>
          </cell>
          <cell r="E72" t="str">
            <v>not_case_study</v>
          </cell>
        </row>
        <row r="73">
          <cell r="A73" t="str">
            <v>32nd International Conference on Information System 2011, ICIS 2011, Volume 4</v>
          </cell>
          <cell r="B73" t="str">
            <v>excluded</v>
          </cell>
          <cell r="C73" t="str">
            <v>area_of_research</v>
          </cell>
        </row>
        <row r="74">
          <cell r="A74" t="str">
            <v>VERTICALLY INTEGRATED PROJECTS AS A TRANSFORMATIVE PEDAGOGY FOR GREEN HYDROGEN STUDY ABROAD PROGRAMS</v>
          </cell>
          <cell r="B74" t="str">
            <v>included</v>
          </cell>
          <cell r="D74" t="str">
            <v>excluded</v>
          </cell>
          <cell r="E74" t="str">
            <v>out_of_scope</v>
          </cell>
        </row>
        <row r="75">
          <cell r="A75" t="str">
            <v>Unfulfilled promises of the consultation approach: the limits to effective indigenous participation in Bolivia’s and Peru’s extractive industries</v>
          </cell>
          <cell r="B75" t="str">
            <v>included</v>
          </cell>
          <cell r="D75" t="str">
            <v>excluded</v>
          </cell>
          <cell r="E75" t="str">
            <v>out_of_scope</v>
          </cell>
        </row>
        <row r="76">
          <cell r="A76" t="str">
            <v>Student Research Abstract: Unsupervised Key Term Extraction of Tornado Narratives from NOAA Storm Events Database</v>
          </cell>
          <cell r="B76" t="str">
            <v>excluded</v>
          </cell>
          <cell r="C76" t="str">
            <v>text_or_data_mining</v>
          </cell>
        </row>
        <row r="77">
          <cell r="A77" t="str">
            <v>MOdeling, visualizing, and mining hydrologic spatial hierarchies for water quality management</v>
          </cell>
          <cell r="B77" t="str">
            <v>included</v>
          </cell>
          <cell r="D77" t="str">
            <v>excluded</v>
          </cell>
          <cell r="E77" t="str">
            <v>out_of_scope</v>
          </cell>
        </row>
        <row r="78">
          <cell r="A78" t="str">
            <v>Heavy metals: Confounding factors in the response of New Zealand freshwater fish assemblages to natural and anthropogenic acidity</v>
          </cell>
          <cell r="B78" t="str">
            <v>excluded</v>
          </cell>
          <cell r="C78" t="str">
            <v>area_of_research</v>
          </cell>
        </row>
        <row r="79">
          <cell r="A79" t="str">
            <v>Adult asthma associated with roadway density and housing in rural Appalachia: the Mountain Air Project (MAP)</v>
          </cell>
          <cell r="B79" t="str">
            <v>excluded</v>
          </cell>
          <cell r="C79" t="str">
            <v>area_of_research</v>
          </cell>
        </row>
        <row r="80">
          <cell r="A80" t="str">
            <v>HIV Preventive Behaviors and Associated Factors among Gold Mining Workers in Dima District, Southwest Ethiopia, 2019: Community-Based Cross-Sectional Study</v>
          </cell>
          <cell r="B80" t="str">
            <v>excluded</v>
          </cell>
          <cell r="C80" t="str">
            <v>area_of_research</v>
          </cell>
        </row>
        <row r="81">
          <cell r="A81" t="str">
            <v>Advancing Athens’ circular economy: sewer mining for urban water reclamation</v>
          </cell>
          <cell r="B81" t="str">
            <v>excluded</v>
          </cell>
          <cell r="C81" t="str">
            <v>area_of_research</v>
          </cell>
        </row>
        <row r="82">
          <cell r="A82" t="str">
            <v>Exploring the impacts of anthropogenic disturbance on seawater and sediment microbial communities in Korean coastal waters using metagenomics analysis</v>
          </cell>
          <cell r="B82" t="str">
            <v>excluded</v>
          </cell>
          <cell r="C82" t="str">
            <v>area_of_research</v>
          </cell>
        </row>
        <row r="83">
          <cell r="A83" t="str">
            <v>Community-Based land use models for sustainable livelihoods in Merapi Volcano disaster prone areas III in Sleman Regency</v>
          </cell>
          <cell r="B83" t="str">
            <v>excluded</v>
          </cell>
          <cell r="C83" t="str">
            <v>area_of_research</v>
          </cell>
        </row>
        <row r="84">
          <cell r="A84" t="str">
            <v>Alpha and beta diversities of hydrothermal vent macrofaunal communities along the southwestern Pacific back-arc basins</v>
          </cell>
          <cell r="B84" t="str">
            <v>excluded</v>
          </cell>
          <cell r="C84" t="str">
            <v>area_of_research</v>
          </cell>
        </row>
        <row r="85">
          <cell r="A85" t="str">
            <v>ICST UGM 2023 - 4th Geoscience and Environmental Management Symposium</v>
          </cell>
          <cell r="B85" t="str">
            <v>excluded</v>
          </cell>
          <cell r="C85" t="str">
            <v>area_of_research</v>
          </cell>
        </row>
        <row r="86">
          <cell r="A86" t="str">
            <v>The socio-environmental observatory: an information platform for transparency, participatory governance, and environmental justice in the Sonora River Basin, Mexico</v>
          </cell>
          <cell r="B86" t="str">
            <v>included</v>
          </cell>
          <cell r="D86" t="str">
            <v>excluded</v>
          </cell>
          <cell r="E86" t="str">
            <v>out_of_scope</v>
          </cell>
        </row>
        <row r="87">
          <cell r="A87" t="str">
            <v>Air concentrations of volatile compounds near oil and gas production: A community-based exploratory study</v>
          </cell>
          <cell r="B87" t="str">
            <v>included</v>
          </cell>
          <cell r="D87" t="str">
            <v>excluded</v>
          </cell>
          <cell r="E87" t="str">
            <v>out_of_scope</v>
          </cell>
        </row>
        <row r="88">
          <cell r="A88" t="str">
            <v>Socio-environmental conflict over abandoned mining waste in Copaquilla, Chile</v>
          </cell>
          <cell r="B88" t="str">
            <v>included</v>
          </cell>
          <cell r="D88" t="str">
            <v>excluded</v>
          </cell>
          <cell r="E88" t="str">
            <v>out_of_scope</v>
          </cell>
        </row>
        <row r="89">
          <cell r="A89" t="str">
            <v>Sustainable Water-Related Hazards Assessment in Open Pit-to-Underground Mining Transitions: An IDRR and MCDM Approach at Sijiaying Iron Mine, China</v>
          </cell>
          <cell r="B89" t="str">
            <v>included</v>
          </cell>
          <cell r="D89" t="str">
            <v>included</v>
          </cell>
          <cell r="E89" t="str">
            <v>already in corpus</v>
          </cell>
        </row>
        <row r="90">
          <cell r="A90" t="str">
            <v>Governing disaster risk and 'survivability': The case of two villages in Kerala, India</v>
          </cell>
          <cell r="B90" t="str">
            <v>included</v>
          </cell>
          <cell r="D90" t="str">
            <v>excluded</v>
          </cell>
          <cell r="E90" t="str">
            <v>out_of_scope</v>
          </cell>
        </row>
        <row r="91">
          <cell r="A91" t="str">
            <v>Community-based research as a mechanism to reduce environmental health disparities in American Indian and Alaska Native communities</v>
          </cell>
          <cell r="B91" t="str">
            <v>excluded</v>
          </cell>
          <cell r="C91" t="str">
            <v>area_of_research</v>
          </cell>
        </row>
        <row r="92">
          <cell r="A92" t="str">
            <v>Social media-based social–psychological community resilience analysis of five countries on COVID-19</v>
          </cell>
          <cell r="B92" t="str">
            <v>excluded</v>
          </cell>
          <cell r="C92" t="str">
            <v>text_or_data_mining</v>
          </cell>
        </row>
        <row r="93">
          <cell r="A93" t="str">
            <v>3rd International Conference on Flood Recovery, Innovation and Response, FRIAR 2012</v>
          </cell>
          <cell r="B93" t="str">
            <v>excluded</v>
          </cell>
          <cell r="C93" t="str">
            <v>area_of_research</v>
          </cell>
        </row>
        <row r="94">
          <cell r="A94" t="str">
            <v>How do local communities adapt to climate changes along heavily damaged coasts? A Stakeholder Delphi study in Ky Anh (Central Vietnam)</v>
          </cell>
          <cell r="B94" t="str">
            <v>excluded</v>
          </cell>
          <cell r="C94" t="str">
            <v>area_of_research</v>
          </cell>
        </row>
        <row r="95">
          <cell r="A95" t="str">
            <v>Assessing the distribution pattern of otters in four rivers of the Indian Himalayan biodiversity hotspot</v>
          </cell>
          <cell r="B95" t="str">
            <v>excluded</v>
          </cell>
          <cell r="C95" t="str">
            <v>area_of_research</v>
          </cell>
        </row>
        <row r="96">
          <cell r="A96" t="str">
            <v>River sand mining and associated environmental problems in Sri Lanka</v>
          </cell>
          <cell r="B96" t="str">
            <v>included</v>
          </cell>
          <cell r="D96" t="str">
            <v>excluded</v>
          </cell>
          <cell r="E96" t="str">
            <v>out_of_scope</v>
          </cell>
        </row>
        <row r="97">
          <cell r="A97" t="str">
            <v>CLIMATE ACTION WITH A LAGNIAPPE: Coastal Restoration, Flood Risk Reduction, Sacred Site Protection and Tribal Communities’ Resilience</v>
          </cell>
          <cell r="B97" t="str">
            <v>included</v>
          </cell>
          <cell r="D97" t="str">
            <v>excluded</v>
          </cell>
          <cell r="E97" t="str">
            <v>out_of_scope</v>
          </cell>
        </row>
        <row r="98">
          <cell r="A98" t="str">
            <v>Development, adaptation, and assessment of alerting algorithms for biosurveillance</v>
          </cell>
          <cell r="B98" t="str">
            <v>excluded</v>
          </cell>
          <cell r="C98" t="str">
            <v>area_of_research</v>
          </cell>
        </row>
        <row r="99">
          <cell r="A99" t="str">
            <v>Eliciting social themes of flood mitigation and community engagement studies through text mining</v>
          </cell>
          <cell r="B99" t="str">
            <v>excluded</v>
          </cell>
          <cell r="C99" t="str">
            <v>text_or_data_mining</v>
          </cell>
        </row>
        <row r="100">
          <cell r="A100" t="str">
            <v>Resilient city and flood disaster mitigation adaptation community-based in Samarinda City</v>
          </cell>
          <cell r="B100" t="str">
            <v>included</v>
          </cell>
          <cell r="D100" t="str">
            <v>included</v>
          </cell>
          <cell r="E100" t="str">
            <v>to include</v>
          </cell>
        </row>
        <row r="101">
          <cell r="A101" t="str">
            <v>Remediation of antimony-rich mine waters: Assessment of antimony removal and shifts in the microbial community of an onsite field-scale bioreactor</v>
          </cell>
          <cell r="B101" t="str">
            <v>excluded</v>
          </cell>
          <cell r="C101" t="str">
            <v>area_of_research</v>
          </cell>
        </row>
        <row r="102">
          <cell r="A102" t="str">
            <v>Forest restoration can increase the Rio Doce watershed resilience</v>
          </cell>
          <cell r="B102" t="str">
            <v>excluded</v>
          </cell>
          <cell r="C102" t="str">
            <v>area_of_research</v>
          </cell>
        </row>
        <row r="103">
          <cell r="A103" t="str">
            <v>3rd International Conference on Energy and Environmental Protection, ICEEP 2014</v>
          </cell>
          <cell r="B103" t="str">
            <v>excluded</v>
          </cell>
          <cell r="C103" t="str">
            <v>area_of_research</v>
          </cell>
        </row>
        <row r="104">
          <cell r="A104" t="str">
            <v>Application of a basin management approach to groundwater utilization in the Otavi Mountain Land, Namibia</v>
          </cell>
          <cell r="B104" t="str">
            <v>included</v>
          </cell>
          <cell r="D104" t="str">
            <v>excluded</v>
          </cell>
          <cell r="E104" t="str">
            <v>out_of_scope</v>
          </cell>
        </row>
        <row r="105">
          <cell r="A105" t="str">
            <v>Past, Present and Future of Embankments in Bangladesh: An Investigation of the Embankment Failures and Recommendations for Sustainable Solutions</v>
          </cell>
          <cell r="B105" t="str">
            <v>excluded</v>
          </cell>
          <cell r="C105" t="str">
            <v>area_of_research</v>
          </cell>
        </row>
        <row r="106">
          <cell r="A106" t="str">
            <v>Community is a solution, not a problem: A systematic review on lessons learned during the COVID-19 pandemic on improving the capacity of the last mile through community-based approaches</v>
          </cell>
          <cell r="B106" t="str">
            <v>excluded</v>
          </cell>
          <cell r="C106" t="str">
            <v>area_of_research</v>
          </cell>
        </row>
        <row r="107">
          <cell r="A107" t="str">
            <v>Extractivist Fractures in the Atacama Desert: An Oasis of Contradictions</v>
          </cell>
          <cell r="B107" t="str">
            <v>included</v>
          </cell>
          <cell r="D107" t="str">
            <v>excluded</v>
          </cell>
          <cell r="E107" t="str">
            <v>out_of_scope</v>
          </cell>
        </row>
        <row r="108">
          <cell r="A108" t="str">
            <v>Evaluation, a challenge for successful management, performance and motivation of the public administration empirical analysis in front of theory-cal analysis</v>
          </cell>
          <cell r="B108" t="str">
            <v>excluded</v>
          </cell>
          <cell r="C108" t="str">
            <v>area_of_research</v>
          </cell>
        </row>
        <row r="109">
          <cell r="A109" t="str">
            <v>Building rural community resilience: The case of gem extraction in flood-affected areas of Sri Lanka</v>
          </cell>
          <cell r="B109" t="str">
            <v>included</v>
          </cell>
          <cell r="D109" t="str">
            <v>included</v>
          </cell>
          <cell r="E109" t="str">
            <v>already in corpus</v>
          </cell>
        </row>
        <row r="110">
          <cell r="A110" t="str">
            <v>Proceedings - 2016 International Conference on Smart Grid and Electrical Automation, ICSGEA 2016</v>
          </cell>
          <cell r="B110" t="str">
            <v>excluded</v>
          </cell>
          <cell r="C110" t="str">
            <v>area_of_research</v>
          </cell>
        </row>
        <row r="111">
          <cell r="A111" t="str">
            <v>Landslide risk, resilience and resistance: confronting community resilience with economic benefits in landslide-prone areas in Kerala</v>
          </cell>
          <cell r="B111" t="str">
            <v>included</v>
          </cell>
          <cell r="D111" t="str">
            <v>included</v>
          </cell>
          <cell r="E111" t="str">
            <v>already in corpus</v>
          </cell>
        </row>
        <row r="112">
          <cell r="A112" t="str">
            <v>Multi￣dimensional characteristics analysis of stakeholders in rainstorm and flood public opinion based on social networks; [基于社交网络的暴雨洪涝舆情利益相关者多维特征分析]</v>
          </cell>
          <cell r="B112" t="str">
            <v>excluded</v>
          </cell>
          <cell r="C112" t="str">
            <v>not_english</v>
          </cell>
        </row>
        <row r="113">
          <cell r="A113" t="str">
            <v>Opportunities and Choices During Environmental Licensing: Community Participation in Latin America’s Extractive Sectors</v>
          </cell>
          <cell r="B113" t="str">
            <v>included</v>
          </cell>
          <cell r="D113" t="str">
            <v>excluded</v>
          </cell>
          <cell r="E113" t="str">
            <v>out_of_scope</v>
          </cell>
        </row>
        <row r="114">
          <cell r="A114" t="str">
            <v>Resilience in Pontifical Doctrines: From Pope Benedict XVI to Pope Francis</v>
          </cell>
          <cell r="B114" t="str">
            <v>excluded</v>
          </cell>
          <cell r="C114" t="str">
            <v>area_of_research</v>
          </cell>
        </row>
        <row r="115">
          <cell r="A115" t="str">
            <v>Exploring two decades of research in community resilience: A content analysis across the international literature</v>
          </cell>
          <cell r="B115" t="str">
            <v>included</v>
          </cell>
          <cell r="D115" t="str">
            <v>excluded</v>
          </cell>
          <cell r="E115" t="str">
            <v>not_case_study</v>
          </cell>
        </row>
        <row r="116">
          <cell r="A116" t="str">
            <v>How do electric vehicles impact community resilience? A bi-Layer network perspective</v>
          </cell>
          <cell r="B116" t="str">
            <v>excluded</v>
          </cell>
          <cell r="C116" t="str">
            <v>area_of_research</v>
          </cell>
        </row>
        <row r="117">
          <cell r="A117" t="str">
            <v>Social and geographical disparities in Twitter use during Hurricane Harvey</v>
          </cell>
          <cell r="B117" t="str">
            <v>excluded</v>
          </cell>
          <cell r="C117" t="str">
            <v>text_or_data_mining</v>
          </cell>
        </row>
        <row r="118">
          <cell r="A118" t="str">
            <v>Climate change, mining and traditional indigenous knowledge in Australia</v>
          </cell>
          <cell r="B118" t="str">
            <v>included</v>
          </cell>
          <cell r="D118" t="str">
            <v>excluded</v>
          </cell>
          <cell r="E118" t="str">
            <v>not_case_study</v>
          </cell>
        </row>
        <row r="119">
          <cell r="A119" t="str">
            <v>ANSWER: A scientific participatory initiative in the field of water; [ANSWER: une opération de sciences participatives dans le domaine de l'EAU]</v>
          </cell>
          <cell r="B119" t="str">
            <v>excluded</v>
          </cell>
          <cell r="C119" t="str">
            <v>not_english</v>
          </cell>
        </row>
        <row r="120">
          <cell r="A120" t="str">
            <v>Community transcriptomics reveals unexpected high microbial diversity in acidophilic biofilm communities</v>
          </cell>
          <cell r="B120" t="str">
            <v>excluded</v>
          </cell>
          <cell r="C120" t="str">
            <v>area_of_research</v>
          </cell>
        </row>
        <row r="121">
          <cell r="A121" t="str">
            <v>Community-based integrated watershed management in the Congo Basin: realities and perspectives</v>
          </cell>
          <cell r="B121" t="str">
            <v>included</v>
          </cell>
          <cell r="D121" t="str">
            <v>excluded</v>
          </cell>
          <cell r="E121" t="str">
            <v>out_of_scope</v>
          </cell>
        </row>
        <row r="122">
          <cell r="A122" t="str">
            <v>Roles and responsibilities of stakeholders involved in local-level flood risk management: a study in the Deduru Oya basin in Sri Lanka</v>
          </cell>
          <cell r="B122" t="str">
            <v>included</v>
          </cell>
          <cell r="D122" t="str">
            <v>excluded</v>
          </cell>
          <cell r="E122" t="str">
            <v>out_of_scope</v>
          </cell>
        </row>
        <row r="123">
          <cell r="A123" t="str">
            <v>Mining city resilience research</v>
          </cell>
          <cell r="B123" t="str">
            <v>included</v>
          </cell>
          <cell r="D123" t="str">
            <v>excluded</v>
          </cell>
          <cell r="E123" t="str">
            <v>not_case_study</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0"/>
  <sheetViews>
    <sheetView workbookViewId="0">
      <selection activeCell="M2" sqref="M2:M135"/>
    </sheetView>
  </sheetViews>
  <sheetFormatPr baseColWidth="10" defaultColWidth="8.88671875" defaultRowHeight="14.4" x14ac:dyDescent="0.3"/>
  <cols>
    <col min="6" max="6" width="51.33203125" customWidth="1"/>
    <col min="7" max="7" width="16.21875" customWidth="1"/>
    <col min="8" max="8" width="16.77734375" customWidth="1"/>
    <col min="11" max="11" width="17.6640625" customWidth="1"/>
    <col min="13" max="13" width="25.5546875" customWidth="1"/>
  </cols>
  <sheetData>
    <row r="1" spans="1:13" ht="15" thickBot="1" x14ac:dyDescent="0.35">
      <c r="A1" s="5" t="s">
        <v>777</v>
      </c>
      <c r="B1" s="1" t="s">
        <v>0</v>
      </c>
      <c r="C1" s="1" t="s">
        <v>1</v>
      </c>
      <c r="D1" s="1" t="s">
        <v>2</v>
      </c>
      <c r="E1" s="1" t="s">
        <v>3</v>
      </c>
      <c r="F1" s="1" t="s">
        <v>4</v>
      </c>
      <c r="G1" s="1" t="s">
        <v>5</v>
      </c>
      <c r="H1" s="1" t="s">
        <v>6</v>
      </c>
      <c r="I1" s="1" t="s">
        <v>7</v>
      </c>
      <c r="J1" s="1" t="s">
        <v>8</v>
      </c>
      <c r="K1" s="2" t="s">
        <v>9</v>
      </c>
      <c r="L1" s="3" t="s">
        <v>775</v>
      </c>
      <c r="M1" s="4" t="s">
        <v>776</v>
      </c>
    </row>
    <row r="2" spans="1:13" x14ac:dyDescent="0.3">
      <c r="A2" s="1">
        <v>0</v>
      </c>
      <c r="B2" t="s">
        <v>10</v>
      </c>
      <c r="C2" t="s">
        <v>11</v>
      </c>
      <c r="D2">
        <v>2020</v>
      </c>
      <c r="E2" t="s">
        <v>12</v>
      </c>
      <c r="F2" t="s">
        <v>13</v>
      </c>
      <c r="G2" t="s">
        <v>14</v>
      </c>
      <c r="H2" t="s">
        <v>15</v>
      </c>
      <c r="I2" t="s">
        <v>16</v>
      </c>
      <c r="J2" t="s">
        <v>17</v>
      </c>
      <c r="K2" t="s">
        <v>18</v>
      </c>
      <c r="L2" t="str">
        <f>VLOOKUP(B2,[1]Hoja1!A:F,2,FALSE)</f>
        <v>excluded</v>
      </c>
      <c r="M2" t="str">
        <f>VLOOKUP(B2,[1]Hoja1!A:F,3,FALSE)</f>
        <v>text_or_data_mining</v>
      </c>
    </row>
    <row r="3" spans="1:13" x14ac:dyDescent="0.3">
      <c r="A3" s="1">
        <v>1</v>
      </c>
      <c r="B3" t="s">
        <v>19</v>
      </c>
      <c r="C3" t="s">
        <v>20</v>
      </c>
      <c r="D3">
        <v>2023</v>
      </c>
      <c r="E3" t="s">
        <v>21</v>
      </c>
      <c r="F3" t="s">
        <v>22</v>
      </c>
      <c r="G3" t="s">
        <v>23</v>
      </c>
      <c r="H3" t="s">
        <v>24</v>
      </c>
      <c r="I3" t="s">
        <v>25</v>
      </c>
      <c r="J3" t="s">
        <v>17</v>
      </c>
      <c r="K3" t="s">
        <v>18</v>
      </c>
      <c r="L3" t="str">
        <f>VLOOKUP(B3,[1]Hoja1!A:F,2,FALSE)</f>
        <v>included</v>
      </c>
    </row>
    <row r="4" spans="1:13" x14ac:dyDescent="0.3">
      <c r="A4" s="1">
        <v>2</v>
      </c>
      <c r="B4" t="s">
        <v>26</v>
      </c>
      <c r="C4" t="s">
        <v>27</v>
      </c>
      <c r="D4">
        <v>2022</v>
      </c>
      <c r="E4" t="s">
        <v>28</v>
      </c>
      <c r="F4" t="s">
        <v>29</v>
      </c>
      <c r="G4" t="s">
        <v>30</v>
      </c>
      <c r="H4" t="s">
        <v>31</v>
      </c>
      <c r="I4" t="s">
        <v>32</v>
      </c>
      <c r="J4" t="s">
        <v>17</v>
      </c>
      <c r="K4" t="s">
        <v>18</v>
      </c>
      <c r="L4" t="str">
        <f>VLOOKUP(B4,[1]Hoja1!A:F,2,FALSE)</f>
        <v>included</v>
      </c>
    </row>
    <row r="5" spans="1:13" x14ac:dyDescent="0.3">
      <c r="A5" s="1">
        <v>3</v>
      </c>
      <c r="B5" t="s">
        <v>33</v>
      </c>
      <c r="C5" t="s">
        <v>34</v>
      </c>
      <c r="D5">
        <v>2025</v>
      </c>
      <c r="E5" t="s">
        <v>35</v>
      </c>
      <c r="F5" t="s">
        <v>36</v>
      </c>
      <c r="G5" t="s">
        <v>37</v>
      </c>
      <c r="H5" t="s">
        <v>38</v>
      </c>
      <c r="J5" t="s">
        <v>17</v>
      </c>
      <c r="K5" t="s">
        <v>18</v>
      </c>
      <c r="L5" t="str">
        <f>VLOOKUP(B5,[1]Hoja1!A:F,2,FALSE)</f>
        <v>excluded</v>
      </c>
      <c r="M5" t="str">
        <f>VLOOKUP(B5,[1]Hoja1!A:F,3,FALSE)</f>
        <v>area_of_research</v>
      </c>
    </row>
    <row r="6" spans="1:13" x14ac:dyDescent="0.3">
      <c r="A6" s="1">
        <v>4</v>
      </c>
      <c r="B6" t="s">
        <v>39</v>
      </c>
      <c r="C6" t="s">
        <v>40</v>
      </c>
      <c r="D6">
        <v>2024</v>
      </c>
      <c r="E6" t="s">
        <v>41</v>
      </c>
      <c r="F6" t="s">
        <v>42</v>
      </c>
      <c r="G6" t="s">
        <v>43</v>
      </c>
      <c r="H6" t="s">
        <v>44</v>
      </c>
      <c r="I6" t="s">
        <v>45</v>
      </c>
      <c r="J6" t="s">
        <v>17</v>
      </c>
      <c r="K6" t="s">
        <v>18</v>
      </c>
      <c r="L6" t="s">
        <v>778</v>
      </c>
      <c r="M6" t="s">
        <v>779</v>
      </c>
    </row>
    <row r="7" spans="1:13" x14ac:dyDescent="0.3">
      <c r="A7" s="1">
        <v>5</v>
      </c>
      <c r="B7" t="s">
        <v>46</v>
      </c>
      <c r="C7" t="s">
        <v>47</v>
      </c>
      <c r="D7">
        <v>2017</v>
      </c>
      <c r="E7" t="s">
        <v>48</v>
      </c>
      <c r="F7" t="s">
        <v>49</v>
      </c>
      <c r="G7" t="s">
        <v>50</v>
      </c>
      <c r="H7" t="s">
        <v>51</v>
      </c>
      <c r="I7" t="s">
        <v>52</v>
      </c>
      <c r="J7" t="s">
        <v>17</v>
      </c>
      <c r="K7" t="s">
        <v>18</v>
      </c>
      <c r="L7" t="str">
        <f>VLOOKUP(B7,[1]Hoja1!A:F,2,FALSE)</f>
        <v>included</v>
      </c>
    </row>
    <row r="8" spans="1:13" x14ac:dyDescent="0.3">
      <c r="A8" s="1">
        <v>7</v>
      </c>
      <c r="B8" t="s">
        <v>53</v>
      </c>
      <c r="C8" t="s">
        <v>54</v>
      </c>
      <c r="D8">
        <v>2025</v>
      </c>
      <c r="E8" t="s">
        <v>55</v>
      </c>
      <c r="F8" t="s">
        <v>56</v>
      </c>
      <c r="G8" t="s">
        <v>57</v>
      </c>
      <c r="H8" t="s">
        <v>58</v>
      </c>
      <c r="I8" t="s">
        <v>59</v>
      </c>
      <c r="J8" t="s">
        <v>17</v>
      </c>
      <c r="K8" t="s">
        <v>18</v>
      </c>
      <c r="L8" t="str">
        <f>VLOOKUP(B8,[1]Hoja1!A:F,2,FALSE)</f>
        <v>excluded</v>
      </c>
      <c r="M8" t="str">
        <f>VLOOKUP(B8,[1]Hoja1!A:F,3,FALSE)</f>
        <v>text_or_data_mining</v>
      </c>
    </row>
    <row r="9" spans="1:13" x14ac:dyDescent="0.3">
      <c r="A9" s="1">
        <v>8</v>
      </c>
      <c r="B9" t="s">
        <v>60</v>
      </c>
      <c r="C9" t="s">
        <v>61</v>
      </c>
      <c r="D9">
        <v>2022</v>
      </c>
      <c r="E9" t="s">
        <v>62</v>
      </c>
      <c r="F9" t="s">
        <v>63</v>
      </c>
      <c r="G9" t="s">
        <v>64</v>
      </c>
      <c r="H9" t="s">
        <v>65</v>
      </c>
      <c r="I9" t="s">
        <v>66</v>
      </c>
      <c r="J9" t="s">
        <v>17</v>
      </c>
      <c r="K9" t="s">
        <v>18</v>
      </c>
      <c r="L9" t="str">
        <f>VLOOKUP(B9,[1]Hoja1!A:F,2,FALSE)</f>
        <v>excluded</v>
      </c>
      <c r="M9" t="str">
        <f>VLOOKUP(B9,[1]Hoja1!A:F,3,FALSE)</f>
        <v>text_or_data_mining</v>
      </c>
    </row>
    <row r="10" spans="1:13" x14ac:dyDescent="0.3">
      <c r="A10" s="1">
        <v>9</v>
      </c>
      <c r="B10" t="s">
        <v>67</v>
      </c>
      <c r="C10" t="s">
        <v>68</v>
      </c>
      <c r="D10">
        <v>2018</v>
      </c>
      <c r="E10" t="s">
        <v>69</v>
      </c>
      <c r="F10" t="s">
        <v>70</v>
      </c>
      <c r="G10" t="s">
        <v>71</v>
      </c>
      <c r="H10" t="s">
        <v>72</v>
      </c>
      <c r="I10" t="s">
        <v>73</v>
      </c>
      <c r="J10" t="s">
        <v>17</v>
      </c>
      <c r="K10" t="s">
        <v>18</v>
      </c>
      <c r="L10" t="str">
        <f>VLOOKUP(B10,[1]Hoja1!A:F,2,FALSE)</f>
        <v>excluded</v>
      </c>
      <c r="M10" t="str">
        <f>VLOOKUP(B10,[1]Hoja1!A:F,3,FALSE)</f>
        <v>text_or_data_mining</v>
      </c>
    </row>
    <row r="11" spans="1:13" x14ac:dyDescent="0.3">
      <c r="A11" s="1">
        <v>10</v>
      </c>
      <c r="B11" t="s">
        <v>74</v>
      </c>
      <c r="C11" t="s">
        <v>75</v>
      </c>
      <c r="D11">
        <v>2018</v>
      </c>
      <c r="E11" t="s">
        <v>12</v>
      </c>
      <c r="F11" t="s">
        <v>76</v>
      </c>
      <c r="G11" t="s">
        <v>77</v>
      </c>
      <c r="H11" t="s">
        <v>78</v>
      </c>
      <c r="I11" t="s">
        <v>79</v>
      </c>
      <c r="J11" t="s">
        <v>17</v>
      </c>
      <c r="K11" t="s">
        <v>18</v>
      </c>
      <c r="L11" t="str">
        <f>VLOOKUP(B11,[1]Hoja1!A:F,2,FALSE)</f>
        <v>excluded</v>
      </c>
      <c r="M11" t="str">
        <f>VLOOKUP(B11,[1]Hoja1!A:F,3,FALSE)</f>
        <v>area_of_research</v>
      </c>
    </row>
    <row r="12" spans="1:13" x14ac:dyDescent="0.3">
      <c r="A12" s="1">
        <v>11</v>
      </c>
      <c r="B12" t="s">
        <v>80</v>
      </c>
      <c r="C12" t="s">
        <v>81</v>
      </c>
      <c r="D12">
        <v>2020</v>
      </c>
      <c r="E12" t="s">
        <v>82</v>
      </c>
      <c r="F12" t="s">
        <v>83</v>
      </c>
      <c r="G12" t="s">
        <v>84</v>
      </c>
      <c r="H12" t="s">
        <v>85</v>
      </c>
      <c r="I12" t="s">
        <v>86</v>
      </c>
      <c r="J12" t="s">
        <v>17</v>
      </c>
      <c r="K12" t="s">
        <v>18</v>
      </c>
      <c r="L12" t="str">
        <f>VLOOKUP(B12,[1]Hoja1!A:F,2,FALSE)</f>
        <v>excluded</v>
      </c>
      <c r="M12" t="str">
        <f>VLOOKUP(B12,[1]Hoja1!A:F,3,FALSE)</f>
        <v>text_or_data_mining</v>
      </c>
    </row>
    <row r="13" spans="1:13" x14ac:dyDescent="0.3">
      <c r="A13" s="1">
        <v>12</v>
      </c>
      <c r="B13" t="s">
        <v>87</v>
      </c>
      <c r="C13" t="s">
        <v>88</v>
      </c>
      <c r="D13">
        <v>2021</v>
      </c>
      <c r="E13" t="s">
        <v>89</v>
      </c>
      <c r="F13" t="s">
        <v>90</v>
      </c>
      <c r="G13" t="s">
        <v>91</v>
      </c>
      <c r="H13" t="s">
        <v>92</v>
      </c>
      <c r="I13" t="s">
        <v>93</v>
      </c>
      <c r="J13" t="s">
        <v>17</v>
      </c>
      <c r="K13" t="s">
        <v>18</v>
      </c>
      <c r="L13" t="str">
        <f>VLOOKUP(B13,[1]Hoja1!A:F,2,FALSE)</f>
        <v>included</v>
      </c>
    </row>
    <row r="14" spans="1:13" x14ac:dyDescent="0.3">
      <c r="A14" s="1">
        <v>13</v>
      </c>
      <c r="B14" t="s">
        <v>94</v>
      </c>
      <c r="C14" t="s">
        <v>95</v>
      </c>
      <c r="D14">
        <v>2020</v>
      </c>
      <c r="E14" t="s">
        <v>96</v>
      </c>
      <c r="F14" t="s">
        <v>97</v>
      </c>
      <c r="G14" t="s">
        <v>98</v>
      </c>
      <c r="H14" t="s">
        <v>99</v>
      </c>
      <c r="I14" t="s">
        <v>100</v>
      </c>
      <c r="J14" t="s">
        <v>17</v>
      </c>
      <c r="K14" t="s">
        <v>18</v>
      </c>
      <c r="L14" t="str">
        <f>VLOOKUP(B14,[1]Hoja1!A:F,2,FALSE)</f>
        <v>included</v>
      </c>
    </row>
    <row r="15" spans="1:13" x14ac:dyDescent="0.3">
      <c r="A15" s="1">
        <v>14</v>
      </c>
      <c r="B15" t="s">
        <v>101</v>
      </c>
      <c r="C15" t="s">
        <v>102</v>
      </c>
      <c r="D15">
        <v>2018</v>
      </c>
      <c r="E15" t="s">
        <v>103</v>
      </c>
      <c r="F15" t="s">
        <v>104</v>
      </c>
      <c r="G15" t="s">
        <v>105</v>
      </c>
      <c r="H15" t="s">
        <v>106</v>
      </c>
      <c r="I15" t="s">
        <v>107</v>
      </c>
      <c r="J15" t="s">
        <v>17</v>
      </c>
      <c r="K15" t="s">
        <v>18</v>
      </c>
      <c r="L15" t="str">
        <f>VLOOKUP(B15,[1]Hoja1!A:F,2,FALSE)</f>
        <v>excluded</v>
      </c>
      <c r="M15" t="str">
        <f>VLOOKUP(B15,[1]Hoja1!A:F,3,FALSE)</f>
        <v>text_or_data_mining</v>
      </c>
    </row>
    <row r="16" spans="1:13" x14ac:dyDescent="0.3">
      <c r="A16" s="1">
        <v>15</v>
      </c>
      <c r="B16" t="s">
        <v>108</v>
      </c>
      <c r="C16" t="s">
        <v>109</v>
      </c>
      <c r="D16">
        <v>2026</v>
      </c>
      <c r="E16" t="s">
        <v>110</v>
      </c>
      <c r="F16" t="s">
        <v>111</v>
      </c>
      <c r="G16" t="s">
        <v>112</v>
      </c>
      <c r="H16" t="s">
        <v>113</v>
      </c>
      <c r="J16" t="s">
        <v>17</v>
      </c>
      <c r="K16" t="s">
        <v>18</v>
      </c>
      <c r="L16" t="str">
        <f>VLOOKUP(B16,[1]Hoja1!A:F,2,FALSE)</f>
        <v>included</v>
      </c>
    </row>
    <row r="17" spans="1:13" x14ac:dyDescent="0.3">
      <c r="A17" s="1">
        <v>16</v>
      </c>
      <c r="B17" t="s">
        <v>114</v>
      </c>
      <c r="C17" t="s">
        <v>115</v>
      </c>
      <c r="D17">
        <v>2019</v>
      </c>
      <c r="E17" t="s">
        <v>116</v>
      </c>
      <c r="F17" t="s">
        <v>117</v>
      </c>
      <c r="G17" t="s">
        <v>118</v>
      </c>
      <c r="H17" t="s">
        <v>119</v>
      </c>
      <c r="I17" t="s">
        <v>120</v>
      </c>
      <c r="J17" t="s">
        <v>17</v>
      </c>
      <c r="K17" t="s">
        <v>18</v>
      </c>
      <c r="L17" t="str">
        <f>VLOOKUP(B17,[1]Hoja1!A:F,2,FALSE)</f>
        <v>excluded</v>
      </c>
      <c r="M17" t="str">
        <f>VLOOKUP(B17,[1]Hoja1!A:F,3,FALSE)</f>
        <v>area_of_research</v>
      </c>
    </row>
    <row r="18" spans="1:13" x14ac:dyDescent="0.3">
      <c r="A18" s="1">
        <v>17</v>
      </c>
      <c r="B18" t="s">
        <v>121</v>
      </c>
      <c r="C18" t="s">
        <v>122</v>
      </c>
      <c r="D18">
        <v>2018</v>
      </c>
      <c r="E18" t="s">
        <v>123</v>
      </c>
      <c r="F18" t="s">
        <v>124</v>
      </c>
      <c r="G18" t="s">
        <v>125</v>
      </c>
      <c r="H18" t="s">
        <v>126</v>
      </c>
      <c r="I18" t="s">
        <v>127</v>
      </c>
      <c r="J18" t="s">
        <v>17</v>
      </c>
      <c r="K18" t="s">
        <v>18</v>
      </c>
      <c r="L18" t="str">
        <f>VLOOKUP(B18,[1]Hoja1!A:F,2,FALSE)</f>
        <v>excluded</v>
      </c>
      <c r="M18" t="str">
        <f>VLOOKUP(B18,[1]Hoja1!A:F,3,FALSE)</f>
        <v>area_of_research</v>
      </c>
    </row>
    <row r="19" spans="1:13" x14ac:dyDescent="0.3">
      <c r="A19" s="1">
        <v>18</v>
      </c>
      <c r="B19" t="s">
        <v>128</v>
      </c>
      <c r="C19" t="s">
        <v>129</v>
      </c>
      <c r="D19">
        <v>2026</v>
      </c>
      <c r="E19" t="s">
        <v>130</v>
      </c>
      <c r="F19" t="s">
        <v>131</v>
      </c>
      <c r="G19" t="s">
        <v>132</v>
      </c>
      <c r="H19" t="s">
        <v>133</v>
      </c>
      <c r="I19" t="s">
        <v>134</v>
      </c>
      <c r="J19" t="s">
        <v>17</v>
      </c>
      <c r="K19" t="s">
        <v>18</v>
      </c>
      <c r="L19" t="str">
        <f>VLOOKUP(B19,[1]Hoja1!A:F,2,FALSE)</f>
        <v>excluded</v>
      </c>
      <c r="M19" t="str">
        <f>VLOOKUP(B19,[1]Hoja1!A:F,3,FALSE)</f>
        <v>area_of_research</v>
      </c>
    </row>
    <row r="20" spans="1:13" x14ac:dyDescent="0.3">
      <c r="A20" s="1">
        <v>19</v>
      </c>
      <c r="B20" t="s">
        <v>135</v>
      </c>
      <c r="C20" t="s">
        <v>136</v>
      </c>
      <c r="D20">
        <v>2025</v>
      </c>
      <c r="E20" t="s">
        <v>137</v>
      </c>
      <c r="F20" t="s">
        <v>138</v>
      </c>
      <c r="G20" t="s">
        <v>139</v>
      </c>
      <c r="J20" t="s">
        <v>17</v>
      </c>
      <c r="K20" t="s">
        <v>18</v>
      </c>
      <c r="L20" t="str">
        <f>VLOOKUP(B20,[1]Hoja1!A:F,2,FALSE)</f>
        <v>excluded</v>
      </c>
      <c r="M20" t="str">
        <f>VLOOKUP(B20,[1]Hoja1!A:F,3,FALSE)</f>
        <v>area_of_research</v>
      </c>
    </row>
    <row r="21" spans="1:13" x14ac:dyDescent="0.3">
      <c r="A21" s="1">
        <v>20</v>
      </c>
      <c r="B21" t="s">
        <v>140</v>
      </c>
      <c r="C21" t="s">
        <v>141</v>
      </c>
      <c r="D21">
        <v>2025</v>
      </c>
      <c r="E21" t="s">
        <v>142</v>
      </c>
      <c r="F21" t="s">
        <v>143</v>
      </c>
      <c r="G21" t="s">
        <v>144</v>
      </c>
      <c r="H21" t="s">
        <v>145</v>
      </c>
      <c r="I21" t="s">
        <v>146</v>
      </c>
      <c r="J21" t="s">
        <v>17</v>
      </c>
      <c r="K21" t="s">
        <v>18</v>
      </c>
      <c r="L21" t="str">
        <f>VLOOKUP(B21,[1]Hoja1!A:F,2,FALSE)</f>
        <v>included</v>
      </c>
    </row>
    <row r="22" spans="1:13" x14ac:dyDescent="0.3">
      <c r="A22" s="1">
        <v>21</v>
      </c>
      <c r="B22" t="s">
        <v>147</v>
      </c>
      <c r="C22" t="s">
        <v>148</v>
      </c>
      <c r="D22">
        <v>2025</v>
      </c>
      <c r="E22" t="s">
        <v>149</v>
      </c>
      <c r="F22" t="s">
        <v>150</v>
      </c>
      <c r="G22" t="s">
        <v>151</v>
      </c>
      <c r="H22" t="s">
        <v>152</v>
      </c>
      <c r="I22" t="s">
        <v>153</v>
      </c>
      <c r="J22" t="s">
        <v>17</v>
      </c>
      <c r="K22" t="s">
        <v>18</v>
      </c>
      <c r="L22" t="str">
        <f>VLOOKUP(B22,[1]Hoja1!A:F,2,FALSE)</f>
        <v>excluded</v>
      </c>
      <c r="M22" t="str">
        <f>VLOOKUP(B22,[1]Hoja1!A:F,3,FALSE)</f>
        <v>area_of_research</v>
      </c>
    </row>
    <row r="23" spans="1:13" x14ac:dyDescent="0.3">
      <c r="A23" s="1">
        <v>22</v>
      </c>
      <c r="B23" t="s">
        <v>154</v>
      </c>
      <c r="C23" t="s">
        <v>155</v>
      </c>
      <c r="D23">
        <v>2025</v>
      </c>
      <c r="E23" t="s">
        <v>156</v>
      </c>
      <c r="F23" t="s">
        <v>157</v>
      </c>
      <c r="G23" t="s">
        <v>158</v>
      </c>
      <c r="H23" t="s">
        <v>159</v>
      </c>
      <c r="I23" t="s">
        <v>160</v>
      </c>
      <c r="J23" t="s">
        <v>17</v>
      </c>
      <c r="K23" t="s">
        <v>18</v>
      </c>
      <c r="L23" t="str">
        <f>VLOOKUP(B23,[1]Hoja1!A:F,2,FALSE)</f>
        <v>included</v>
      </c>
    </row>
    <row r="24" spans="1:13" x14ac:dyDescent="0.3">
      <c r="A24" s="1">
        <v>24</v>
      </c>
      <c r="B24" t="s">
        <v>161</v>
      </c>
      <c r="C24" t="s">
        <v>162</v>
      </c>
      <c r="D24">
        <v>2025</v>
      </c>
      <c r="E24" t="s">
        <v>163</v>
      </c>
      <c r="F24" t="s">
        <v>164</v>
      </c>
      <c r="G24" t="s">
        <v>165</v>
      </c>
      <c r="H24" t="s">
        <v>166</v>
      </c>
      <c r="I24" t="s">
        <v>167</v>
      </c>
      <c r="J24" t="s">
        <v>17</v>
      </c>
      <c r="K24" t="s">
        <v>18</v>
      </c>
      <c r="L24" t="str">
        <f>VLOOKUP(B24,[1]Hoja1!A:F,2,FALSE)</f>
        <v>excluded</v>
      </c>
      <c r="M24" t="str">
        <f>VLOOKUP(B24,[1]Hoja1!A:F,3,FALSE)</f>
        <v>area_of_research</v>
      </c>
    </row>
    <row r="25" spans="1:13" x14ac:dyDescent="0.3">
      <c r="A25" s="1">
        <v>25</v>
      </c>
      <c r="B25" t="s">
        <v>168</v>
      </c>
      <c r="C25" t="s">
        <v>169</v>
      </c>
      <c r="D25">
        <v>2026</v>
      </c>
      <c r="E25" t="s">
        <v>170</v>
      </c>
      <c r="F25" t="s">
        <v>171</v>
      </c>
      <c r="G25" t="s">
        <v>172</v>
      </c>
      <c r="H25" t="s">
        <v>173</v>
      </c>
      <c r="J25" t="s">
        <v>17</v>
      </c>
      <c r="K25" t="s">
        <v>18</v>
      </c>
      <c r="L25" t="str">
        <f>VLOOKUP(B25,[2]Hoja1!A:E,2,FALSE)</f>
        <v>included</v>
      </c>
    </row>
    <row r="26" spans="1:13" x14ac:dyDescent="0.3">
      <c r="A26" s="1">
        <v>26</v>
      </c>
      <c r="B26" t="s">
        <v>174</v>
      </c>
      <c r="C26" t="s">
        <v>175</v>
      </c>
      <c r="D26">
        <v>2018</v>
      </c>
      <c r="E26" t="s">
        <v>170</v>
      </c>
      <c r="F26" t="s">
        <v>176</v>
      </c>
      <c r="G26" t="s">
        <v>177</v>
      </c>
      <c r="H26" t="s">
        <v>178</v>
      </c>
      <c r="I26" t="s">
        <v>179</v>
      </c>
      <c r="J26" t="s">
        <v>17</v>
      </c>
      <c r="K26" t="s">
        <v>18</v>
      </c>
      <c r="L26" t="str">
        <f>VLOOKUP(B26,[2]Hoja1!A:E,2,FALSE)</f>
        <v>included</v>
      </c>
    </row>
    <row r="27" spans="1:13" x14ac:dyDescent="0.3">
      <c r="A27" s="1">
        <v>27</v>
      </c>
      <c r="B27" t="s">
        <v>180</v>
      </c>
      <c r="C27" t="s">
        <v>181</v>
      </c>
      <c r="D27">
        <v>2025</v>
      </c>
      <c r="E27" t="s">
        <v>170</v>
      </c>
      <c r="F27" t="s">
        <v>182</v>
      </c>
      <c r="G27" t="s">
        <v>183</v>
      </c>
      <c r="H27" t="s">
        <v>184</v>
      </c>
      <c r="J27" t="s">
        <v>17</v>
      </c>
      <c r="K27" t="s">
        <v>18</v>
      </c>
      <c r="L27" t="str">
        <f>VLOOKUP(B27,[2]Hoja1!A:E,2,FALSE)</f>
        <v>included</v>
      </c>
    </row>
    <row r="28" spans="1:13" x14ac:dyDescent="0.3">
      <c r="A28" s="1">
        <v>28</v>
      </c>
      <c r="B28" t="s">
        <v>185</v>
      </c>
      <c r="C28" t="s">
        <v>186</v>
      </c>
      <c r="D28">
        <v>2025</v>
      </c>
      <c r="E28" t="s">
        <v>170</v>
      </c>
      <c r="F28" t="s">
        <v>187</v>
      </c>
      <c r="G28" t="s">
        <v>188</v>
      </c>
      <c r="H28" t="s">
        <v>189</v>
      </c>
      <c r="I28" t="s">
        <v>190</v>
      </c>
      <c r="J28" t="s">
        <v>17</v>
      </c>
      <c r="K28" t="s">
        <v>18</v>
      </c>
      <c r="L28" t="str">
        <f>VLOOKUP(B28,[2]Hoja1!A:E,2,FALSE)</f>
        <v>excluded</v>
      </c>
      <c r="M28" t="str">
        <f>VLOOKUP(B28,[2]Hoja1!A:E,3,FALSE)</f>
        <v>text_or_data_mining</v>
      </c>
    </row>
    <row r="29" spans="1:13" x14ac:dyDescent="0.3">
      <c r="A29" s="1">
        <v>29</v>
      </c>
      <c r="B29" t="s">
        <v>191</v>
      </c>
      <c r="C29" t="s">
        <v>192</v>
      </c>
      <c r="D29">
        <v>2023</v>
      </c>
      <c r="E29" t="s">
        <v>170</v>
      </c>
      <c r="F29" t="s">
        <v>193</v>
      </c>
      <c r="G29" t="s">
        <v>194</v>
      </c>
      <c r="H29" t="s">
        <v>195</v>
      </c>
      <c r="I29" t="s">
        <v>196</v>
      </c>
      <c r="J29" t="s">
        <v>17</v>
      </c>
      <c r="K29" t="s">
        <v>18</v>
      </c>
      <c r="L29" t="str">
        <f>VLOOKUP(B29,[2]Hoja1!A:E,2,FALSE)</f>
        <v>included</v>
      </c>
    </row>
    <row r="30" spans="1:13" x14ac:dyDescent="0.3">
      <c r="A30" s="1">
        <v>30</v>
      </c>
      <c r="B30" t="s">
        <v>197</v>
      </c>
      <c r="C30" t="s">
        <v>198</v>
      </c>
      <c r="D30">
        <v>2021</v>
      </c>
      <c r="E30" t="s">
        <v>170</v>
      </c>
      <c r="F30" t="s">
        <v>199</v>
      </c>
      <c r="G30" t="s">
        <v>200</v>
      </c>
      <c r="H30" t="s">
        <v>201</v>
      </c>
      <c r="I30" t="s">
        <v>202</v>
      </c>
      <c r="J30" t="s">
        <v>17</v>
      </c>
      <c r="K30" t="s">
        <v>18</v>
      </c>
      <c r="L30" t="str">
        <f>VLOOKUP(B30,[2]Hoja1!A:E,2,FALSE)</f>
        <v>included</v>
      </c>
    </row>
    <row r="31" spans="1:13" x14ac:dyDescent="0.3">
      <c r="A31" s="1">
        <v>31</v>
      </c>
      <c r="B31" t="s">
        <v>203</v>
      </c>
      <c r="C31" t="s">
        <v>204</v>
      </c>
      <c r="D31">
        <v>2022</v>
      </c>
      <c r="E31" t="s">
        <v>170</v>
      </c>
      <c r="F31" t="s">
        <v>205</v>
      </c>
      <c r="G31" t="s">
        <v>64</v>
      </c>
      <c r="H31" t="s">
        <v>206</v>
      </c>
      <c r="I31" t="s">
        <v>207</v>
      </c>
      <c r="J31" t="s">
        <v>17</v>
      </c>
      <c r="K31" t="s">
        <v>18</v>
      </c>
      <c r="L31" t="str">
        <f>VLOOKUP(B31,[2]Hoja1!A:E,2,FALSE)</f>
        <v>excluded</v>
      </c>
      <c r="M31" t="str">
        <f>VLOOKUP(B31,[2]Hoja1!A:E,3,FALSE)</f>
        <v>text_or_data_mining</v>
      </c>
    </row>
    <row r="32" spans="1:13" x14ac:dyDescent="0.3">
      <c r="A32" s="1">
        <v>32</v>
      </c>
      <c r="B32" t="s">
        <v>208</v>
      </c>
      <c r="C32" t="s">
        <v>209</v>
      </c>
      <c r="D32">
        <v>2016</v>
      </c>
      <c r="E32" t="s">
        <v>170</v>
      </c>
      <c r="F32" t="s">
        <v>210</v>
      </c>
      <c r="G32" t="s">
        <v>211</v>
      </c>
      <c r="H32" t="s">
        <v>212</v>
      </c>
      <c r="I32" t="s">
        <v>213</v>
      </c>
      <c r="J32" t="s">
        <v>17</v>
      </c>
      <c r="K32" t="s">
        <v>18</v>
      </c>
      <c r="L32" t="str">
        <f>VLOOKUP(B32,[2]Hoja1!A:E,2,FALSE)</f>
        <v>excluded</v>
      </c>
      <c r="M32" t="str">
        <f>VLOOKUP(B32,[2]Hoja1!A:E,3,FALSE)</f>
        <v>text_or_data_mining</v>
      </c>
    </row>
    <row r="33" spans="1:13" x14ac:dyDescent="0.3">
      <c r="A33" s="1">
        <v>33</v>
      </c>
      <c r="B33" t="s">
        <v>214</v>
      </c>
      <c r="C33" t="s">
        <v>215</v>
      </c>
      <c r="D33">
        <v>2025</v>
      </c>
      <c r="E33" t="s">
        <v>170</v>
      </c>
      <c r="F33" t="s">
        <v>216</v>
      </c>
      <c r="H33" t="s">
        <v>217</v>
      </c>
      <c r="J33" t="s">
        <v>17</v>
      </c>
      <c r="K33" t="s">
        <v>18</v>
      </c>
      <c r="L33" t="str">
        <f>VLOOKUP(B33,[2]Hoja1!A:E,2,FALSE)</f>
        <v>included</v>
      </c>
    </row>
    <row r="34" spans="1:13" x14ac:dyDescent="0.3">
      <c r="A34" s="1">
        <v>34</v>
      </c>
      <c r="B34" t="s">
        <v>218</v>
      </c>
      <c r="C34" t="s">
        <v>219</v>
      </c>
      <c r="D34">
        <v>2023</v>
      </c>
      <c r="E34" t="s">
        <v>170</v>
      </c>
      <c r="F34" t="s">
        <v>220</v>
      </c>
      <c r="G34" t="s">
        <v>221</v>
      </c>
      <c r="H34" t="s">
        <v>222</v>
      </c>
      <c r="J34" t="s">
        <v>17</v>
      </c>
      <c r="K34" t="s">
        <v>18</v>
      </c>
      <c r="L34" t="str">
        <f>VLOOKUP(B34,[2]Hoja1!A:E,2,FALSE)</f>
        <v>excluded</v>
      </c>
      <c r="M34" t="str">
        <f>VLOOKUP(B34,[2]Hoja1!A:E,3,FALSE)</f>
        <v>text_or_data_mining</v>
      </c>
    </row>
    <row r="35" spans="1:13" x14ac:dyDescent="0.3">
      <c r="A35" s="1">
        <v>35</v>
      </c>
      <c r="B35" t="s">
        <v>223</v>
      </c>
      <c r="C35" t="s">
        <v>224</v>
      </c>
      <c r="D35">
        <v>2020</v>
      </c>
      <c r="E35" t="s">
        <v>170</v>
      </c>
      <c r="F35" t="s">
        <v>225</v>
      </c>
      <c r="G35" t="s">
        <v>226</v>
      </c>
      <c r="H35" t="s">
        <v>227</v>
      </c>
      <c r="I35" t="s">
        <v>228</v>
      </c>
      <c r="J35" t="s">
        <v>17</v>
      </c>
      <c r="K35" t="s">
        <v>18</v>
      </c>
      <c r="L35" t="str">
        <f>VLOOKUP(B35,[2]Hoja1!A:E,2,FALSE)</f>
        <v>included</v>
      </c>
    </row>
    <row r="36" spans="1:13" x14ac:dyDescent="0.3">
      <c r="A36" s="1">
        <v>36</v>
      </c>
      <c r="B36" t="s">
        <v>229</v>
      </c>
      <c r="C36" t="s">
        <v>230</v>
      </c>
      <c r="D36">
        <v>2024</v>
      </c>
      <c r="E36" t="s">
        <v>170</v>
      </c>
      <c r="F36" t="s">
        <v>231</v>
      </c>
      <c r="G36" t="s">
        <v>232</v>
      </c>
      <c r="I36" t="s">
        <v>233</v>
      </c>
      <c r="J36" t="s">
        <v>17</v>
      </c>
      <c r="K36" t="s">
        <v>234</v>
      </c>
      <c r="L36" t="str">
        <f>VLOOKUP(B36,[2]Hoja1!A:E,2,FALSE)</f>
        <v>excluded</v>
      </c>
      <c r="M36" t="str">
        <f>VLOOKUP(B36,[2]Hoja1!A:E,3,FALSE)</f>
        <v>text_or_data_mining</v>
      </c>
    </row>
    <row r="37" spans="1:13" x14ac:dyDescent="0.3">
      <c r="A37" s="1">
        <v>37</v>
      </c>
      <c r="B37" t="s">
        <v>235</v>
      </c>
      <c r="C37" t="s">
        <v>236</v>
      </c>
      <c r="D37">
        <v>2026</v>
      </c>
      <c r="E37" t="s">
        <v>170</v>
      </c>
      <c r="F37" t="s">
        <v>237</v>
      </c>
      <c r="G37" t="s">
        <v>238</v>
      </c>
      <c r="H37" t="s">
        <v>239</v>
      </c>
      <c r="I37" t="s">
        <v>240</v>
      </c>
      <c r="J37" t="s">
        <v>17</v>
      </c>
      <c r="K37" t="s">
        <v>18</v>
      </c>
      <c r="L37" t="str">
        <f>VLOOKUP(B37,[2]Hoja1!A:E,2,FALSE)</f>
        <v>excluded</v>
      </c>
      <c r="M37" t="str">
        <f>VLOOKUP(B37,[2]Hoja1!A:E,3,FALSE)</f>
        <v>area_of_research</v>
      </c>
    </row>
    <row r="38" spans="1:13" x14ac:dyDescent="0.3">
      <c r="A38" s="1">
        <v>38</v>
      </c>
      <c r="B38" t="s">
        <v>241</v>
      </c>
      <c r="C38" t="s">
        <v>242</v>
      </c>
      <c r="D38">
        <v>2025</v>
      </c>
      <c r="E38" t="s">
        <v>170</v>
      </c>
      <c r="F38" t="s">
        <v>243</v>
      </c>
      <c r="G38" t="s">
        <v>244</v>
      </c>
      <c r="H38" t="s">
        <v>245</v>
      </c>
      <c r="I38" t="s">
        <v>246</v>
      </c>
      <c r="J38" t="s">
        <v>17</v>
      </c>
      <c r="K38" t="s">
        <v>18</v>
      </c>
      <c r="L38" t="str">
        <f>VLOOKUP(B38,[2]Hoja1!A:E,2,FALSE)</f>
        <v>included</v>
      </c>
    </row>
    <row r="39" spans="1:13" x14ac:dyDescent="0.3">
      <c r="A39" s="1">
        <v>39</v>
      </c>
      <c r="B39" t="s">
        <v>247</v>
      </c>
      <c r="C39" t="s">
        <v>248</v>
      </c>
      <c r="D39">
        <v>2014</v>
      </c>
      <c r="E39" t="s">
        <v>170</v>
      </c>
      <c r="F39" t="s">
        <v>249</v>
      </c>
      <c r="G39" t="s">
        <v>250</v>
      </c>
      <c r="H39" t="s">
        <v>251</v>
      </c>
      <c r="J39" t="s">
        <v>17</v>
      </c>
      <c r="K39" t="s">
        <v>18</v>
      </c>
      <c r="L39" t="str">
        <f>VLOOKUP(B39,[2]Hoja1!A:E,2,FALSE)</f>
        <v>included</v>
      </c>
    </row>
    <row r="40" spans="1:13" x14ac:dyDescent="0.3">
      <c r="A40" s="1">
        <v>40</v>
      </c>
      <c r="B40" t="s">
        <v>252</v>
      </c>
      <c r="C40" t="s">
        <v>253</v>
      </c>
      <c r="D40">
        <v>2025</v>
      </c>
      <c r="E40" t="s">
        <v>170</v>
      </c>
      <c r="F40" t="s">
        <v>254</v>
      </c>
      <c r="G40" t="s">
        <v>255</v>
      </c>
      <c r="I40" t="s">
        <v>256</v>
      </c>
      <c r="J40" t="s">
        <v>17</v>
      </c>
      <c r="K40" t="s">
        <v>257</v>
      </c>
      <c r="L40" t="str">
        <f>VLOOKUP(B40,[2]Hoja1!A:E,2,FALSE)</f>
        <v>included</v>
      </c>
    </row>
    <row r="41" spans="1:13" x14ac:dyDescent="0.3">
      <c r="A41" s="1">
        <v>41</v>
      </c>
      <c r="B41" t="s">
        <v>258</v>
      </c>
      <c r="C41" t="s">
        <v>259</v>
      </c>
      <c r="D41">
        <v>2024</v>
      </c>
      <c r="E41" t="s">
        <v>170</v>
      </c>
      <c r="F41" t="s">
        <v>260</v>
      </c>
      <c r="G41" t="s">
        <v>261</v>
      </c>
      <c r="H41" t="s">
        <v>262</v>
      </c>
      <c r="I41" t="s">
        <v>263</v>
      </c>
      <c r="J41" t="s">
        <v>17</v>
      </c>
      <c r="K41" t="s">
        <v>18</v>
      </c>
      <c r="L41" t="str">
        <f>VLOOKUP(B41,[2]Hoja1!A:E,2,FALSE)</f>
        <v>included</v>
      </c>
    </row>
    <row r="42" spans="1:13" x14ac:dyDescent="0.3">
      <c r="A42" s="1">
        <v>42</v>
      </c>
      <c r="B42" t="s">
        <v>264</v>
      </c>
      <c r="C42" t="s">
        <v>265</v>
      </c>
      <c r="D42">
        <v>2020</v>
      </c>
      <c r="E42" t="s">
        <v>170</v>
      </c>
      <c r="F42" t="s">
        <v>266</v>
      </c>
      <c r="G42" t="s">
        <v>14</v>
      </c>
      <c r="H42" t="s">
        <v>267</v>
      </c>
      <c r="I42" t="s">
        <v>268</v>
      </c>
      <c r="J42" t="s">
        <v>17</v>
      </c>
      <c r="K42" t="s">
        <v>18</v>
      </c>
      <c r="L42" t="str">
        <f>VLOOKUP(B42,[2]Hoja1!A:E,2,FALSE)</f>
        <v>excluded</v>
      </c>
      <c r="M42" t="str">
        <f>VLOOKUP(B42,[2]Hoja1!A:E,3,FALSE)</f>
        <v>text_or_data_mining</v>
      </c>
    </row>
    <row r="43" spans="1:13" x14ac:dyDescent="0.3">
      <c r="A43" s="1">
        <v>43</v>
      </c>
      <c r="B43" t="s">
        <v>269</v>
      </c>
      <c r="C43" t="s">
        <v>270</v>
      </c>
      <c r="D43">
        <v>2016</v>
      </c>
      <c r="E43" t="s">
        <v>170</v>
      </c>
      <c r="F43" t="s">
        <v>271</v>
      </c>
      <c r="G43" t="s">
        <v>272</v>
      </c>
      <c r="H43" t="s">
        <v>273</v>
      </c>
      <c r="I43" t="s">
        <v>274</v>
      </c>
      <c r="J43" t="s">
        <v>17</v>
      </c>
      <c r="K43" t="s">
        <v>18</v>
      </c>
      <c r="L43" t="str">
        <f>VLOOKUP(B43,[2]Hoja1!A:E,2,FALSE)</f>
        <v>excluded</v>
      </c>
      <c r="M43" t="str">
        <f>VLOOKUP(B43,[2]Hoja1!A:E,3,FALSE)</f>
        <v>text_or_data_mining</v>
      </c>
    </row>
    <row r="44" spans="1:13" x14ac:dyDescent="0.3">
      <c r="A44" s="1">
        <v>44</v>
      </c>
      <c r="B44" t="s">
        <v>275</v>
      </c>
      <c r="C44" t="s">
        <v>276</v>
      </c>
      <c r="D44">
        <v>2025</v>
      </c>
      <c r="E44" t="s">
        <v>170</v>
      </c>
      <c r="F44" t="s">
        <v>277</v>
      </c>
      <c r="G44" t="s">
        <v>278</v>
      </c>
      <c r="H44" t="s">
        <v>279</v>
      </c>
      <c r="I44" t="s">
        <v>280</v>
      </c>
      <c r="J44" t="s">
        <v>17</v>
      </c>
      <c r="K44" t="s">
        <v>18</v>
      </c>
      <c r="L44" t="str">
        <f>VLOOKUP(B44,[2]Hoja1!A:E,2,FALSE)</f>
        <v>included</v>
      </c>
    </row>
    <row r="45" spans="1:13" x14ac:dyDescent="0.3">
      <c r="A45" s="1">
        <v>45</v>
      </c>
      <c r="B45" t="s">
        <v>281</v>
      </c>
      <c r="C45" t="s">
        <v>282</v>
      </c>
      <c r="D45">
        <v>2022</v>
      </c>
      <c r="E45" t="s">
        <v>170</v>
      </c>
      <c r="F45" t="s">
        <v>283</v>
      </c>
      <c r="G45" t="s">
        <v>284</v>
      </c>
      <c r="J45" t="s">
        <v>17</v>
      </c>
      <c r="K45" t="s">
        <v>18</v>
      </c>
      <c r="L45" t="str">
        <f>VLOOKUP(B45,[2]Hoja1!A:E,2,FALSE)</f>
        <v>excluded</v>
      </c>
      <c r="M45" t="str">
        <f>VLOOKUP(B45,[2]Hoja1!A:E,3,FALSE)</f>
        <v>area_of_research</v>
      </c>
    </row>
    <row r="46" spans="1:13" x14ac:dyDescent="0.3">
      <c r="A46" s="1">
        <v>46</v>
      </c>
      <c r="B46" t="s">
        <v>285</v>
      </c>
      <c r="C46" t="s">
        <v>286</v>
      </c>
      <c r="D46">
        <v>2021</v>
      </c>
      <c r="E46" t="s">
        <v>170</v>
      </c>
      <c r="F46" t="s">
        <v>287</v>
      </c>
      <c r="G46" t="s">
        <v>288</v>
      </c>
      <c r="H46" t="s">
        <v>289</v>
      </c>
      <c r="I46" t="s">
        <v>290</v>
      </c>
      <c r="J46" t="s">
        <v>17</v>
      </c>
      <c r="K46" t="s">
        <v>18</v>
      </c>
      <c r="L46" t="str">
        <f>VLOOKUP(B46,[2]Hoja1!A:E,2,FALSE)</f>
        <v>included</v>
      </c>
    </row>
    <row r="47" spans="1:13" x14ac:dyDescent="0.3">
      <c r="A47" s="1">
        <v>47</v>
      </c>
      <c r="B47" t="s">
        <v>291</v>
      </c>
      <c r="C47" t="s">
        <v>292</v>
      </c>
      <c r="D47">
        <v>2025</v>
      </c>
      <c r="E47" t="s">
        <v>170</v>
      </c>
      <c r="F47" t="s">
        <v>293</v>
      </c>
      <c r="G47" t="s">
        <v>294</v>
      </c>
      <c r="I47" t="s">
        <v>295</v>
      </c>
      <c r="J47" t="s">
        <v>17</v>
      </c>
      <c r="K47" t="s">
        <v>296</v>
      </c>
      <c r="L47" t="str">
        <f>VLOOKUP(B47,[2]Hoja1!A:E,2,FALSE)</f>
        <v>excluded</v>
      </c>
      <c r="M47" t="str">
        <f>VLOOKUP(B47,[2]Hoja1!A:E,3,FALSE)</f>
        <v>area_of_research</v>
      </c>
    </row>
    <row r="48" spans="1:13" x14ac:dyDescent="0.3">
      <c r="A48" s="1">
        <v>48</v>
      </c>
      <c r="B48" t="s">
        <v>297</v>
      </c>
      <c r="C48" t="s">
        <v>298</v>
      </c>
      <c r="D48">
        <v>2019</v>
      </c>
      <c r="E48" t="s">
        <v>170</v>
      </c>
      <c r="F48" t="s">
        <v>299</v>
      </c>
      <c r="G48" t="s">
        <v>300</v>
      </c>
      <c r="H48" t="s">
        <v>301</v>
      </c>
      <c r="J48" t="s">
        <v>17</v>
      </c>
      <c r="K48" t="s">
        <v>257</v>
      </c>
      <c r="L48" t="str">
        <f>VLOOKUP(B48,[2]Hoja1!A:E,2,FALSE)</f>
        <v>excluded</v>
      </c>
      <c r="M48" t="str">
        <f>VLOOKUP(B48,[2]Hoja1!A:E,3,FALSE)</f>
        <v>area_of_research</v>
      </c>
    </row>
    <row r="49" spans="1:13" x14ac:dyDescent="0.3">
      <c r="A49" s="1">
        <v>49</v>
      </c>
      <c r="B49" t="s">
        <v>302</v>
      </c>
      <c r="C49" t="s">
        <v>303</v>
      </c>
      <c r="D49">
        <v>2025</v>
      </c>
      <c r="E49" t="s">
        <v>170</v>
      </c>
      <c r="F49" t="s">
        <v>304</v>
      </c>
      <c r="G49" t="s">
        <v>305</v>
      </c>
      <c r="I49" t="s">
        <v>306</v>
      </c>
      <c r="J49" t="s">
        <v>17</v>
      </c>
      <c r="K49" t="s">
        <v>257</v>
      </c>
      <c r="L49" t="str">
        <f>VLOOKUP(B49,[2]Hoja1!A:E,2,FALSE)</f>
        <v>excluded</v>
      </c>
      <c r="M49" t="str">
        <f>VLOOKUP(B49,[2]Hoja1!A:E,3,FALSE)</f>
        <v>area_of_research</v>
      </c>
    </row>
    <row r="50" spans="1:13" x14ac:dyDescent="0.3">
      <c r="A50" s="1">
        <v>50</v>
      </c>
      <c r="B50" t="s">
        <v>307</v>
      </c>
      <c r="D50">
        <v>2018</v>
      </c>
      <c r="E50" t="s">
        <v>170</v>
      </c>
      <c r="F50" t="s">
        <v>308</v>
      </c>
      <c r="G50" t="s">
        <v>309</v>
      </c>
      <c r="H50" t="s">
        <v>310</v>
      </c>
      <c r="I50" t="s">
        <v>311</v>
      </c>
      <c r="J50" t="s">
        <v>17</v>
      </c>
      <c r="K50" t="s">
        <v>257</v>
      </c>
      <c r="L50" t="str">
        <f>VLOOKUP(B50,[2]Hoja1!A:E,2,FALSE)</f>
        <v>excluded</v>
      </c>
      <c r="M50" t="str">
        <f>VLOOKUP(B50,[2]Hoja1!A:E,3,FALSE)</f>
        <v>text_or_data_mining</v>
      </c>
    </row>
    <row r="51" spans="1:13" x14ac:dyDescent="0.3">
      <c r="A51" s="1">
        <v>51</v>
      </c>
      <c r="B51" t="s">
        <v>312</v>
      </c>
      <c r="C51" t="s">
        <v>313</v>
      </c>
      <c r="D51">
        <v>2024</v>
      </c>
      <c r="E51" t="s">
        <v>170</v>
      </c>
      <c r="F51" t="s">
        <v>314</v>
      </c>
      <c r="G51" t="s">
        <v>315</v>
      </c>
      <c r="H51" t="s">
        <v>316</v>
      </c>
      <c r="I51" t="s">
        <v>317</v>
      </c>
      <c r="J51" t="s">
        <v>17</v>
      </c>
      <c r="K51" t="s">
        <v>18</v>
      </c>
      <c r="L51" t="str">
        <f>VLOOKUP(B51,[2]Hoja1!A:E,2,FALSE)</f>
        <v>excluded</v>
      </c>
      <c r="M51" t="str">
        <f>VLOOKUP(B51,[2]Hoja1!A:E,3,FALSE)</f>
        <v>area_of_research</v>
      </c>
    </row>
    <row r="52" spans="1:13" x14ac:dyDescent="0.3">
      <c r="A52" s="1">
        <v>52</v>
      </c>
      <c r="B52" t="s">
        <v>318</v>
      </c>
      <c r="C52" t="s">
        <v>319</v>
      </c>
      <c r="D52">
        <v>2022</v>
      </c>
      <c r="E52" t="s">
        <v>170</v>
      </c>
      <c r="F52" t="s">
        <v>320</v>
      </c>
      <c r="G52" t="s">
        <v>321</v>
      </c>
      <c r="H52" t="s">
        <v>322</v>
      </c>
      <c r="I52" t="s">
        <v>323</v>
      </c>
      <c r="J52" t="s">
        <v>17</v>
      </c>
      <c r="K52" t="s">
        <v>18</v>
      </c>
      <c r="L52" t="str">
        <f>VLOOKUP(B52,[2]Hoja1!A:E,2,FALSE)</f>
        <v>included</v>
      </c>
    </row>
    <row r="53" spans="1:13" x14ac:dyDescent="0.3">
      <c r="A53" s="1">
        <v>53</v>
      </c>
      <c r="B53" t="s">
        <v>324</v>
      </c>
      <c r="C53" t="s">
        <v>325</v>
      </c>
      <c r="D53">
        <v>2007</v>
      </c>
      <c r="E53" t="s">
        <v>170</v>
      </c>
      <c r="F53" t="s">
        <v>326</v>
      </c>
      <c r="G53" t="s">
        <v>327</v>
      </c>
      <c r="H53" t="s">
        <v>328</v>
      </c>
      <c r="I53" t="s">
        <v>329</v>
      </c>
      <c r="J53" t="s">
        <v>17</v>
      </c>
      <c r="K53" t="s">
        <v>18</v>
      </c>
      <c r="L53" t="str">
        <f>VLOOKUP(B53,[2]Hoja1!A:E,2,FALSE)</f>
        <v>excluded</v>
      </c>
      <c r="M53" t="str">
        <f>VLOOKUP(B53,[2]Hoja1!A:E,3,FALSE)</f>
        <v>area_of_research</v>
      </c>
    </row>
    <row r="54" spans="1:13" x14ac:dyDescent="0.3">
      <c r="A54" s="1">
        <v>54</v>
      </c>
      <c r="B54" t="s">
        <v>330</v>
      </c>
      <c r="C54" t="s">
        <v>331</v>
      </c>
      <c r="D54">
        <v>2014</v>
      </c>
      <c r="E54" t="s">
        <v>170</v>
      </c>
      <c r="F54" t="s">
        <v>332</v>
      </c>
      <c r="G54" t="s">
        <v>333</v>
      </c>
      <c r="H54" t="s">
        <v>334</v>
      </c>
      <c r="J54" t="s">
        <v>17</v>
      </c>
      <c r="K54" t="s">
        <v>18</v>
      </c>
      <c r="L54" t="str">
        <f>VLOOKUP(B54,[2]Hoja1!A:E,2,FALSE)</f>
        <v>excluded</v>
      </c>
      <c r="M54" t="str">
        <f>VLOOKUP(B54,[2]Hoja1!A:E,3,FALSE)</f>
        <v>area_of_research</v>
      </c>
    </row>
    <row r="55" spans="1:13" x14ac:dyDescent="0.3">
      <c r="A55" s="1">
        <v>55</v>
      </c>
      <c r="B55" t="s">
        <v>335</v>
      </c>
      <c r="C55" t="s">
        <v>336</v>
      </c>
      <c r="D55">
        <v>2024</v>
      </c>
      <c r="E55" t="s">
        <v>170</v>
      </c>
      <c r="F55" t="s">
        <v>337</v>
      </c>
      <c r="G55" t="s">
        <v>338</v>
      </c>
      <c r="H55" t="s">
        <v>339</v>
      </c>
      <c r="I55" t="s">
        <v>340</v>
      </c>
      <c r="J55" t="s">
        <v>17</v>
      </c>
      <c r="K55" t="s">
        <v>18</v>
      </c>
      <c r="L55" t="str">
        <f>VLOOKUP(B55,[2]Hoja1!A:E,2,FALSE)</f>
        <v>excluded</v>
      </c>
      <c r="M55" t="str">
        <f>VLOOKUP(B55,[2]Hoja1!A:E,3,FALSE)</f>
        <v>area_of_research</v>
      </c>
    </row>
    <row r="56" spans="1:13" x14ac:dyDescent="0.3">
      <c r="A56" s="1">
        <v>56</v>
      </c>
      <c r="B56" t="s">
        <v>341</v>
      </c>
      <c r="C56" t="s">
        <v>342</v>
      </c>
      <c r="D56">
        <v>2023</v>
      </c>
      <c r="E56" t="s">
        <v>170</v>
      </c>
      <c r="F56" t="s">
        <v>343</v>
      </c>
      <c r="G56" t="s">
        <v>344</v>
      </c>
      <c r="I56" t="s">
        <v>345</v>
      </c>
      <c r="J56" t="s">
        <v>17</v>
      </c>
      <c r="K56" t="s">
        <v>18</v>
      </c>
      <c r="L56" t="str">
        <f>VLOOKUP(B56,[2]Hoja1!A:E,2,FALSE)</f>
        <v>included</v>
      </c>
    </row>
    <row r="57" spans="1:13" x14ac:dyDescent="0.3">
      <c r="A57" s="1">
        <v>57</v>
      </c>
      <c r="B57" t="s">
        <v>346</v>
      </c>
      <c r="C57" t="s">
        <v>347</v>
      </c>
      <c r="D57">
        <v>2006</v>
      </c>
      <c r="E57" t="s">
        <v>170</v>
      </c>
      <c r="F57" t="s">
        <v>348</v>
      </c>
      <c r="G57" t="s">
        <v>349</v>
      </c>
      <c r="H57" t="s">
        <v>350</v>
      </c>
      <c r="I57" t="s">
        <v>351</v>
      </c>
      <c r="J57" t="s">
        <v>17</v>
      </c>
      <c r="K57" t="s">
        <v>18</v>
      </c>
      <c r="L57" t="str">
        <f>VLOOKUP(B57,[2]Hoja1!A:E,2,FALSE)</f>
        <v>included</v>
      </c>
    </row>
    <row r="58" spans="1:13" x14ac:dyDescent="0.3">
      <c r="A58" s="1">
        <v>58</v>
      </c>
      <c r="B58" t="s">
        <v>352</v>
      </c>
      <c r="D58">
        <v>2011</v>
      </c>
      <c r="E58" t="s">
        <v>170</v>
      </c>
      <c r="F58" t="s">
        <v>353</v>
      </c>
      <c r="J58" t="s">
        <v>17</v>
      </c>
      <c r="K58" t="s">
        <v>354</v>
      </c>
      <c r="L58" t="str">
        <f>VLOOKUP(B58,[2]Hoja1!A:E,2,FALSE)</f>
        <v>excluded</v>
      </c>
      <c r="M58" t="str">
        <f>VLOOKUP(B58,[2]Hoja1!A:E,3,FALSE)</f>
        <v>area_of_research</v>
      </c>
    </row>
    <row r="59" spans="1:13" x14ac:dyDescent="0.3">
      <c r="A59" s="1">
        <v>59</v>
      </c>
      <c r="B59" t="s">
        <v>355</v>
      </c>
      <c r="C59" t="s">
        <v>356</v>
      </c>
      <c r="D59">
        <v>2025</v>
      </c>
      <c r="E59" t="s">
        <v>170</v>
      </c>
      <c r="F59" t="s">
        <v>357</v>
      </c>
      <c r="G59" t="s">
        <v>358</v>
      </c>
      <c r="J59" t="s">
        <v>17</v>
      </c>
      <c r="K59" t="s">
        <v>234</v>
      </c>
      <c r="L59" t="str">
        <f>VLOOKUP(B59,[2]Hoja1!A:E,2,FALSE)</f>
        <v>included</v>
      </c>
    </row>
    <row r="60" spans="1:13" x14ac:dyDescent="0.3">
      <c r="A60" s="1">
        <v>60</v>
      </c>
      <c r="B60" t="s">
        <v>359</v>
      </c>
      <c r="C60" t="s">
        <v>360</v>
      </c>
      <c r="D60">
        <v>2026</v>
      </c>
      <c r="E60" t="s">
        <v>170</v>
      </c>
      <c r="F60" t="s">
        <v>361</v>
      </c>
      <c r="G60" t="s">
        <v>362</v>
      </c>
      <c r="H60" t="s">
        <v>363</v>
      </c>
      <c r="J60" t="s">
        <v>17</v>
      </c>
      <c r="K60" t="s">
        <v>18</v>
      </c>
      <c r="L60" t="str">
        <f>VLOOKUP(B60,[2]Hoja1!A:E,2,FALSE)</f>
        <v>included</v>
      </c>
    </row>
    <row r="61" spans="1:13" x14ac:dyDescent="0.3">
      <c r="A61" s="1">
        <v>61</v>
      </c>
      <c r="B61" t="s">
        <v>364</v>
      </c>
      <c r="C61" t="s">
        <v>365</v>
      </c>
      <c r="D61">
        <v>2016</v>
      </c>
      <c r="E61" t="s">
        <v>170</v>
      </c>
      <c r="F61" t="s">
        <v>366</v>
      </c>
      <c r="G61" t="s">
        <v>367</v>
      </c>
      <c r="H61" t="s">
        <v>368</v>
      </c>
      <c r="I61" t="s">
        <v>369</v>
      </c>
      <c r="J61" t="s">
        <v>17</v>
      </c>
      <c r="K61" t="s">
        <v>18</v>
      </c>
      <c r="L61" t="str">
        <f>VLOOKUP(B61,[2]Hoja1!A:E,2,FALSE)</f>
        <v>included</v>
      </c>
    </row>
    <row r="62" spans="1:13" x14ac:dyDescent="0.3">
      <c r="A62" s="1">
        <v>62</v>
      </c>
      <c r="B62" t="s">
        <v>370</v>
      </c>
      <c r="C62" t="s">
        <v>371</v>
      </c>
      <c r="D62">
        <v>2014</v>
      </c>
      <c r="E62" t="s">
        <v>170</v>
      </c>
      <c r="F62" t="s">
        <v>372</v>
      </c>
      <c r="G62" t="s">
        <v>373</v>
      </c>
      <c r="H62" t="s">
        <v>374</v>
      </c>
      <c r="I62" t="s">
        <v>375</v>
      </c>
      <c r="J62" t="s">
        <v>17</v>
      </c>
      <c r="K62" t="s">
        <v>18</v>
      </c>
      <c r="L62" t="str">
        <f>VLOOKUP(B62,[2]Hoja1!A:E,2,FALSE)</f>
        <v>excluded</v>
      </c>
      <c r="M62" t="str">
        <f>VLOOKUP(B62,[2]Hoja1!A:E,3,FALSE)</f>
        <v>area_of_research</v>
      </c>
    </row>
    <row r="63" spans="1:13" x14ac:dyDescent="0.3">
      <c r="A63" s="1">
        <v>63</v>
      </c>
      <c r="B63" t="s">
        <v>376</v>
      </c>
      <c r="C63" t="s">
        <v>377</v>
      </c>
      <c r="D63">
        <v>2026</v>
      </c>
      <c r="E63" t="s">
        <v>170</v>
      </c>
      <c r="F63" t="s">
        <v>378</v>
      </c>
      <c r="G63" t="s">
        <v>379</v>
      </c>
      <c r="H63" t="s">
        <v>380</v>
      </c>
      <c r="I63" t="s">
        <v>381</v>
      </c>
      <c r="J63" t="s">
        <v>17</v>
      </c>
      <c r="K63" t="s">
        <v>18</v>
      </c>
      <c r="L63" t="str">
        <f>VLOOKUP(B63,[2]Hoja1!A:E,2,FALSE)</f>
        <v>included</v>
      </c>
    </row>
    <row r="64" spans="1:13" x14ac:dyDescent="0.3">
      <c r="A64" s="1">
        <v>64</v>
      </c>
      <c r="B64" t="s">
        <v>382</v>
      </c>
      <c r="D64">
        <v>2019</v>
      </c>
      <c r="E64" t="s">
        <v>170</v>
      </c>
      <c r="F64" t="s">
        <v>383</v>
      </c>
      <c r="J64" t="s">
        <v>17</v>
      </c>
      <c r="K64" t="s">
        <v>354</v>
      </c>
      <c r="L64" t="str">
        <f>VLOOKUP(B64,[2]Hoja1!A:E,2,FALSE)</f>
        <v>excluded</v>
      </c>
      <c r="M64" t="str">
        <f>VLOOKUP(B64,[2]Hoja1!A:E,3,FALSE)</f>
        <v>area_of_research</v>
      </c>
    </row>
    <row r="65" spans="1:13" x14ac:dyDescent="0.3">
      <c r="A65" s="1">
        <v>65</v>
      </c>
      <c r="B65" t="s">
        <v>384</v>
      </c>
      <c r="C65" t="s">
        <v>385</v>
      </c>
      <c r="D65">
        <v>2026</v>
      </c>
      <c r="E65" t="s">
        <v>170</v>
      </c>
      <c r="F65" t="s">
        <v>386</v>
      </c>
      <c r="G65" t="s">
        <v>387</v>
      </c>
      <c r="H65" t="s">
        <v>388</v>
      </c>
      <c r="J65" t="s">
        <v>17</v>
      </c>
      <c r="K65" t="s">
        <v>18</v>
      </c>
      <c r="L65" t="str">
        <f>VLOOKUP(B65,[2]Hoja1!A:E,2,FALSE)</f>
        <v>included</v>
      </c>
    </row>
    <row r="66" spans="1:13" x14ac:dyDescent="0.3">
      <c r="A66" s="1">
        <v>66</v>
      </c>
      <c r="B66" t="s">
        <v>389</v>
      </c>
      <c r="C66" t="s">
        <v>390</v>
      </c>
      <c r="D66">
        <v>2026</v>
      </c>
      <c r="E66" t="s">
        <v>170</v>
      </c>
      <c r="F66" t="s">
        <v>391</v>
      </c>
      <c r="G66" t="s">
        <v>392</v>
      </c>
      <c r="H66" t="s">
        <v>393</v>
      </c>
      <c r="I66" t="s">
        <v>394</v>
      </c>
      <c r="J66" t="s">
        <v>17</v>
      </c>
      <c r="K66" t="s">
        <v>18</v>
      </c>
      <c r="L66" t="str">
        <f>VLOOKUP(B66,[2]Hoja1!A:E,2,FALSE)</f>
        <v>included</v>
      </c>
    </row>
    <row r="67" spans="1:13" x14ac:dyDescent="0.3">
      <c r="A67" s="1">
        <v>67</v>
      </c>
      <c r="B67" t="s">
        <v>395</v>
      </c>
      <c r="C67" t="s">
        <v>396</v>
      </c>
      <c r="D67">
        <v>2021</v>
      </c>
      <c r="E67" t="s">
        <v>170</v>
      </c>
      <c r="F67" t="s">
        <v>397</v>
      </c>
      <c r="G67" t="s">
        <v>398</v>
      </c>
      <c r="H67" t="s">
        <v>399</v>
      </c>
      <c r="J67" t="s">
        <v>17</v>
      </c>
      <c r="K67" t="s">
        <v>18</v>
      </c>
      <c r="L67" t="str">
        <f>VLOOKUP(B67,[2]Hoja1!A:E,2,FALSE)</f>
        <v>excluded</v>
      </c>
      <c r="M67" t="str">
        <f>VLOOKUP(B67,[2]Hoja1!A:E,3,FALSE)</f>
        <v>area_of_research</v>
      </c>
    </row>
    <row r="68" spans="1:13" x14ac:dyDescent="0.3">
      <c r="A68" s="1">
        <v>68</v>
      </c>
      <c r="B68" t="s">
        <v>400</v>
      </c>
      <c r="C68" t="s">
        <v>401</v>
      </c>
      <c r="D68">
        <v>2023</v>
      </c>
      <c r="E68" t="s">
        <v>170</v>
      </c>
      <c r="F68" t="s">
        <v>402</v>
      </c>
      <c r="G68" t="s">
        <v>403</v>
      </c>
      <c r="H68" t="s">
        <v>404</v>
      </c>
      <c r="I68" t="s">
        <v>405</v>
      </c>
      <c r="J68" t="s">
        <v>17</v>
      </c>
      <c r="K68" t="s">
        <v>18</v>
      </c>
      <c r="L68" t="str">
        <f>VLOOKUP(B68,[2]Hoja1!A:E,2,FALSE)</f>
        <v>included</v>
      </c>
    </row>
    <row r="69" spans="1:13" x14ac:dyDescent="0.3">
      <c r="A69" s="1">
        <v>69</v>
      </c>
      <c r="B69" t="s">
        <v>406</v>
      </c>
      <c r="C69" t="s">
        <v>407</v>
      </c>
      <c r="D69">
        <v>2021</v>
      </c>
      <c r="E69" t="s">
        <v>170</v>
      </c>
      <c r="F69" t="s">
        <v>408</v>
      </c>
      <c r="G69" t="s">
        <v>409</v>
      </c>
      <c r="H69" t="s">
        <v>410</v>
      </c>
      <c r="I69" t="s">
        <v>411</v>
      </c>
      <c r="J69" t="s">
        <v>17</v>
      </c>
      <c r="K69" t="s">
        <v>18</v>
      </c>
      <c r="L69" t="str">
        <f>VLOOKUP(B69,[2]Hoja1!A:E,2,FALSE)</f>
        <v>included</v>
      </c>
    </row>
    <row r="70" spans="1:13" x14ac:dyDescent="0.3">
      <c r="A70" s="1">
        <v>71</v>
      </c>
      <c r="B70" t="s">
        <v>412</v>
      </c>
      <c r="C70" t="s">
        <v>413</v>
      </c>
      <c r="D70">
        <v>2022</v>
      </c>
      <c r="E70" t="s">
        <v>170</v>
      </c>
      <c r="F70" t="s">
        <v>414</v>
      </c>
      <c r="G70" t="s">
        <v>415</v>
      </c>
      <c r="H70" t="s">
        <v>416</v>
      </c>
      <c r="J70" t="s">
        <v>17</v>
      </c>
      <c r="K70" t="s">
        <v>257</v>
      </c>
      <c r="L70" t="str">
        <f>VLOOKUP(B70,[2]Hoja1!A:E,2,FALSE)</f>
        <v>included</v>
      </c>
    </row>
    <row r="71" spans="1:13" x14ac:dyDescent="0.3">
      <c r="A71" s="1">
        <v>72</v>
      </c>
      <c r="B71" t="s">
        <v>417</v>
      </c>
      <c r="C71" t="s">
        <v>418</v>
      </c>
      <c r="D71">
        <v>2025</v>
      </c>
      <c r="E71" t="s">
        <v>170</v>
      </c>
      <c r="F71" t="s">
        <v>419</v>
      </c>
      <c r="G71" t="s">
        <v>420</v>
      </c>
      <c r="H71" t="s">
        <v>421</v>
      </c>
      <c r="J71" t="s">
        <v>17</v>
      </c>
      <c r="K71" t="s">
        <v>18</v>
      </c>
      <c r="L71" t="str">
        <f>VLOOKUP(B71,[2]Hoja1!A:E,2,FALSE)</f>
        <v>included</v>
      </c>
    </row>
    <row r="72" spans="1:13" x14ac:dyDescent="0.3">
      <c r="A72" s="1">
        <v>73</v>
      </c>
      <c r="B72" t="s">
        <v>422</v>
      </c>
      <c r="C72" t="s">
        <v>423</v>
      </c>
      <c r="D72">
        <v>2019</v>
      </c>
      <c r="E72" t="s">
        <v>170</v>
      </c>
      <c r="F72" t="s">
        <v>424</v>
      </c>
      <c r="G72" t="s">
        <v>425</v>
      </c>
      <c r="H72" t="s">
        <v>426</v>
      </c>
      <c r="I72" t="s">
        <v>427</v>
      </c>
      <c r="J72" t="s">
        <v>17</v>
      </c>
      <c r="K72" t="s">
        <v>18</v>
      </c>
      <c r="L72" t="str">
        <f>VLOOKUP(B72,[2]Hoja1!A:E,2,FALSE)</f>
        <v>included</v>
      </c>
    </row>
    <row r="73" spans="1:13" x14ac:dyDescent="0.3">
      <c r="A73" s="1">
        <v>74</v>
      </c>
      <c r="B73" t="s">
        <v>428</v>
      </c>
      <c r="C73" t="s">
        <v>429</v>
      </c>
      <c r="D73">
        <v>2025</v>
      </c>
      <c r="E73" t="s">
        <v>170</v>
      </c>
      <c r="F73" t="s">
        <v>430</v>
      </c>
      <c r="G73" t="s">
        <v>431</v>
      </c>
      <c r="J73" t="s">
        <v>17</v>
      </c>
      <c r="K73" t="s">
        <v>234</v>
      </c>
      <c r="L73" t="str">
        <f>VLOOKUP(B73,[2]Hoja1!A:E,2,FALSE)</f>
        <v>included</v>
      </c>
    </row>
    <row r="74" spans="1:13" x14ac:dyDescent="0.3">
      <c r="A74" s="1">
        <v>75</v>
      </c>
      <c r="B74" t="s">
        <v>432</v>
      </c>
      <c r="C74" t="s">
        <v>433</v>
      </c>
      <c r="D74">
        <v>2025</v>
      </c>
      <c r="E74" t="s">
        <v>170</v>
      </c>
      <c r="F74" t="s">
        <v>434</v>
      </c>
      <c r="G74" t="s">
        <v>435</v>
      </c>
      <c r="H74" t="s">
        <v>436</v>
      </c>
      <c r="J74" t="s">
        <v>17</v>
      </c>
      <c r="K74" t="s">
        <v>437</v>
      </c>
      <c r="L74" t="str">
        <f>VLOOKUP(B74,[2]Hoja1!A:E,2,FALSE)</f>
        <v>included</v>
      </c>
    </row>
    <row r="75" spans="1:13" x14ac:dyDescent="0.3">
      <c r="A75" s="1">
        <v>76</v>
      </c>
      <c r="B75" t="s">
        <v>438</v>
      </c>
      <c r="C75" t="s">
        <v>439</v>
      </c>
      <c r="D75">
        <v>2026</v>
      </c>
      <c r="E75" t="s">
        <v>170</v>
      </c>
      <c r="F75" t="s">
        <v>440</v>
      </c>
      <c r="G75" t="s">
        <v>441</v>
      </c>
      <c r="H75" t="s">
        <v>442</v>
      </c>
      <c r="I75" t="s">
        <v>443</v>
      </c>
      <c r="J75" t="s">
        <v>17</v>
      </c>
      <c r="K75" t="s">
        <v>18</v>
      </c>
      <c r="L75" t="str">
        <f>VLOOKUP(B75,[2]Hoja1!A:E,2,FALSE)</f>
        <v>excluded</v>
      </c>
      <c r="M75" t="str">
        <f>VLOOKUP(B75,[2]Hoja1!A:E,3,FALSE)</f>
        <v>text_or_data_mining</v>
      </c>
    </row>
    <row r="76" spans="1:13" x14ac:dyDescent="0.3">
      <c r="A76" s="1">
        <v>78</v>
      </c>
      <c r="B76" t="s">
        <v>444</v>
      </c>
      <c r="C76" t="s">
        <v>445</v>
      </c>
      <c r="D76">
        <v>2024</v>
      </c>
      <c r="E76" t="s">
        <v>170</v>
      </c>
      <c r="F76" t="s">
        <v>446</v>
      </c>
      <c r="G76" t="s">
        <v>447</v>
      </c>
      <c r="H76" t="s">
        <v>448</v>
      </c>
      <c r="J76" t="s">
        <v>17</v>
      </c>
      <c r="K76" t="s">
        <v>18</v>
      </c>
      <c r="L76" t="str">
        <f>VLOOKUP(B76,[2]Hoja1!A:E,2,FALSE)</f>
        <v>excluded</v>
      </c>
      <c r="M76" t="str">
        <f>VLOOKUP(B76,[2]Hoja1!A:E,3,FALSE)</f>
        <v>text_or_data_mining</v>
      </c>
    </row>
    <row r="77" spans="1:13" x14ac:dyDescent="0.3">
      <c r="A77" s="1">
        <v>79</v>
      </c>
      <c r="B77" t="s">
        <v>449</v>
      </c>
      <c r="C77" t="s">
        <v>450</v>
      </c>
      <c r="D77">
        <v>2023</v>
      </c>
      <c r="E77" t="s">
        <v>170</v>
      </c>
      <c r="F77" t="s">
        <v>451</v>
      </c>
      <c r="G77" t="s">
        <v>452</v>
      </c>
      <c r="H77" t="s">
        <v>453</v>
      </c>
      <c r="I77" t="s">
        <v>454</v>
      </c>
      <c r="J77" t="s">
        <v>17</v>
      </c>
      <c r="K77" t="s">
        <v>18</v>
      </c>
      <c r="L77" t="str">
        <f>VLOOKUP(B77,[2]Hoja1!A:E,2,FALSE)</f>
        <v>included</v>
      </c>
    </row>
    <row r="78" spans="1:13" x14ac:dyDescent="0.3">
      <c r="A78" s="1">
        <v>81</v>
      </c>
      <c r="B78" t="s">
        <v>455</v>
      </c>
      <c r="C78" t="s">
        <v>456</v>
      </c>
      <c r="D78">
        <v>2023</v>
      </c>
      <c r="E78" t="s">
        <v>170</v>
      </c>
      <c r="F78" t="s">
        <v>457</v>
      </c>
      <c r="G78" t="s">
        <v>458</v>
      </c>
      <c r="H78" t="s">
        <v>459</v>
      </c>
      <c r="I78" t="s">
        <v>460</v>
      </c>
      <c r="J78" t="s">
        <v>17</v>
      </c>
      <c r="K78" t="s">
        <v>437</v>
      </c>
      <c r="L78" t="str">
        <f>VLOOKUP(B78,[2]Hoja1!A:E,2,FALSE)</f>
        <v>included</v>
      </c>
    </row>
    <row r="79" spans="1:13" x14ac:dyDescent="0.3">
      <c r="A79" s="1">
        <v>82</v>
      </c>
      <c r="B79" t="s">
        <v>461</v>
      </c>
      <c r="C79" t="s">
        <v>462</v>
      </c>
      <c r="D79">
        <v>2023</v>
      </c>
      <c r="E79" t="s">
        <v>170</v>
      </c>
      <c r="F79" t="s">
        <v>463</v>
      </c>
      <c r="G79" t="s">
        <v>464</v>
      </c>
      <c r="H79" t="s">
        <v>465</v>
      </c>
      <c r="J79" t="s">
        <v>17</v>
      </c>
      <c r="K79" t="s">
        <v>257</v>
      </c>
      <c r="L79" t="str">
        <f>VLOOKUP(B79,[2]Hoja1!A:E,2,FALSE)</f>
        <v>included</v>
      </c>
    </row>
    <row r="80" spans="1:13" x14ac:dyDescent="0.3">
      <c r="A80" s="1">
        <v>83</v>
      </c>
      <c r="B80" t="s">
        <v>466</v>
      </c>
      <c r="C80" t="s">
        <v>467</v>
      </c>
      <c r="D80">
        <v>2018</v>
      </c>
      <c r="E80" t="s">
        <v>170</v>
      </c>
      <c r="F80" t="s">
        <v>468</v>
      </c>
      <c r="G80" t="s">
        <v>469</v>
      </c>
      <c r="H80" t="s">
        <v>470</v>
      </c>
      <c r="J80" t="s">
        <v>17</v>
      </c>
      <c r="K80" t="s">
        <v>257</v>
      </c>
      <c r="L80" t="str">
        <f>VLOOKUP(B80,[2]Hoja1!A:E,2,FALSE)</f>
        <v>excluded</v>
      </c>
      <c r="M80" t="str">
        <f>VLOOKUP(B80,[2]Hoja1!A:E,3,FALSE)</f>
        <v>text_or_data_mining</v>
      </c>
    </row>
    <row r="81" spans="1:13" x14ac:dyDescent="0.3">
      <c r="A81" s="1">
        <v>84</v>
      </c>
      <c r="B81" t="s">
        <v>471</v>
      </c>
      <c r="C81" t="s">
        <v>472</v>
      </c>
      <c r="D81">
        <v>2014</v>
      </c>
      <c r="E81" t="s">
        <v>170</v>
      </c>
      <c r="F81" t="s">
        <v>473</v>
      </c>
      <c r="G81" t="s">
        <v>474</v>
      </c>
      <c r="I81" t="s">
        <v>475</v>
      </c>
      <c r="J81" t="s">
        <v>17</v>
      </c>
      <c r="K81" t="s">
        <v>18</v>
      </c>
      <c r="L81" t="str">
        <f>VLOOKUP(B81,[2]Hoja1!A:E,2,FALSE)</f>
        <v>excluded</v>
      </c>
      <c r="M81" t="str">
        <f>VLOOKUP(B81,[2]Hoja1!A:E,3,FALSE)</f>
        <v>area_of_research</v>
      </c>
    </row>
    <row r="82" spans="1:13" x14ac:dyDescent="0.3">
      <c r="A82" s="1">
        <v>85</v>
      </c>
      <c r="B82" t="s">
        <v>476</v>
      </c>
      <c r="C82" t="s">
        <v>477</v>
      </c>
      <c r="D82">
        <v>2021</v>
      </c>
      <c r="E82" t="s">
        <v>170</v>
      </c>
      <c r="F82" t="s">
        <v>478</v>
      </c>
      <c r="G82" t="s">
        <v>479</v>
      </c>
      <c r="H82" t="s">
        <v>480</v>
      </c>
      <c r="J82" t="s">
        <v>17</v>
      </c>
      <c r="K82" t="s">
        <v>257</v>
      </c>
      <c r="L82" t="str">
        <f>VLOOKUP(B82,[2]Hoja1!A:E,2,FALSE)</f>
        <v>excluded</v>
      </c>
      <c r="M82" t="str">
        <f>VLOOKUP(B82,[2]Hoja1!A:E,3,FALSE)</f>
        <v>area_of_research</v>
      </c>
    </row>
    <row r="83" spans="1:13" x14ac:dyDescent="0.3">
      <c r="A83" s="1">
        <v>86</v>
      </c>
      <c r="B83" t="s">
        <v>481</v>
      </c>
      <c r="C83" t="s">
        <v>482</v>
      </c>
      <c r="D83">
        <v>2026</v>
      </c>
      <c r="E83" t="s">
        <v>170</v>
      </c>
      <c r="F83" t="s">
        <v>483</v>
      </c>
      <c r="G83" t="s">
        <v>484</v>
      </c>
      <c r="H83" t="s">
        <v>485</v>
      </c>
      <c r="I83" t="s">
        <v>486</v>
      </c>
      <c r="J83" t="s">
        <v>17</v>
      </c>
      <c r="K83" t="s">
        <v>257</v>
      </c>
      <c r="L83" t="str">
        <f>VLOOKUP(B83,[2]Hoja1!A:E,2,FALSE)</f>
        <v>excluded</v>
      </c>
      <c r="M83" t="str">
        <f>VLOOKUP(B83,[2]Hoja1!A:E,3,FALSE)</f>
        <v>area_of_research</v>
      </c>
    </row>
    <row r="84" spans="1:13" x14ac:dyDescent="0.3">
      <c r="A84" s="1">
        <v>87</v>
      </c>
      <c r="B84" t="s">
        <v>487</v>
      </c>
      <c r="D84">
        <v>2011</v>
      </c>
      <c r="E84" t="s">
        <v>170</v>
      </c>
      <c r="F84" t="s">
        <v>353</v>
      </c>
      <c r="J84" t="s">
        <v>17</v>
      </c>
      <c r="K84" t="s">
        <v>354</v>
      </c>
      <c r="L84" t="str">
        <f>VLOOKUP(B84,[2]Hoja1!A:E,2,FALSE)</f>
        <v>excluded</v>
      </c>
      <c r="M84" t="str">
        <f>VLOOKUP(B84,[2]Hoja1!A:E,3,FALSE)</f>
        <v>area_of_research</v>
      </c>
    </row>
    <row r="85" spans="1:13" x14ac:dyDescent="0.3">
      <c r="A85" s="1">
        <v>88</v>
      </c>
      <c r="B85" t="s">
        <v>488</v>
      </c>
      <c r="C85" t="s">
        <v>489</v>
      </c>
      <c r="D85">
        <v>2025</v>
      </c>
      <c r="E85" t="s">
        <v>170</v>
      </c>
      <c r="F85" t="s">
        <v>490</v>
      </c>
      <c r="G85" t="s">
        <v>491</v>
      </c>
      <c r="H85" t="s">
        <v>492</v>
      </c>
      <c r="I85" t="s">
        <v>493</v>
      </c>
      <c r="J85" t="s">
        <v>17</v>
      </c>
      <c r="K85" t="s">
        <v>18</v>
      </c>
      <c r="L85" t="str">
        <f>VLOOKUP(B85,[2]Hoja1!A:E,2,FALSE)</f>
        <v>included</v>
      </c>
    </row>
    <row r="86" spans="1:13" x14ac:dyDescent="0.3">
      <c r="A86" s="1">
        <v>89</v>
      </c>
      <c r="B86" t="s">
        <v>494</v>
      </c>
      <c r="C86" t="s">
        <v>495</v>
      </c>
      <c r="D86">
        <v>2019</v>
      </c>
      <c r="E86" t="s">
        <v>170</v>
      </c>
      <c r="F86" t="s">
        <v>496</v>
      </c>
      <c r="G86" t="s">
        <v>497</v>
      </c>
      <c r="H86" t="s">
        <v>498</v>
      </c>
      <c r="I86" t="s">
        <v>499</v>
      </c>
      <c r="J86" t="s">
        <v>17</v>
      </c>
      <c r="K86" t="s">
        <v>234</v>
      </c>
      <c r="L86" t="str">
        <f>VLOOKUP(B86,[2]Hoja1!A:E,2,FALSE)</f>
        <v>excluded</v>
      </c>
      <c r="M86" t="str">
        <f>VLOOKUP(B86,[2]Hoja1!A:E,3,FALSE)</f>
        <v>area_of_research</v>
      </c>
    </row>
    <row r="87" spans="1:13" x14ac:dyDescent="0.3">
      <c r="A87" s="1">
        <v>90</v>
      </c>
      <c r="B87" t="s">
        <v>500</v>
      </c>
      <c r="C87" t="s">
        <v>501</v>
      </c>
      <c r="D87">
        <v>2025</v>
      </c>
      <c r="E87" t="s">
        <v>170</v>
      </c>
      <c r="F87" t="s">
        <v>502</v>
      </c>
      <c r="G87" t="s">
        <v>503</v>
      </c>
      <c r="H87" t="s">
        <v>504</v>
      </c>
      <c r="I87" t="s">
        <v>505</v>
      </c>
      <c r="J87" t="s">
        <v>17</v>
      </c>
      <c r="K87" t="s">
        <v>18</v>
      </c>
      <c r="L87" t="str">
        <f>VLOOKUP(B87,[2]Hoja1!A:E,2,FALSE)</f>
        <v>included</v>
      </c>
    </row>
    <row r="88" spans="1:13" x14ac:dyDescent="0.3">
      <c r="A88" s="1">
        <v>91</v>
      </c>
      <c r="B88" t="s">
        <v>506</v>
      </c>
      <c r="C88" t="s">
        <v>507</v>
      </c>
      <c r="D88">
        <v>2023</v>
      </c>
      <c r="E88" t="s">
        <v>170</v>
      </c>
      <c r="F88" t="s">
        <v>508</v>
      </c>
      <c r="H88" t="s">
        <v>509</v>
      </c>
      <c r="I88" t="s">
        <v>510</v>
      </c>
      <c r="J88" t="s">
        <v>17</v>
      </c>
      <c r="K88" t="s">
        <v>234</v>
      </c>
      <c r="L88" t="str">
        <f>VLOOKUP(B88,[2]Hoja1!A:E,2,FALSE)</f>
        <v>included</v>
      </c>
    </row>
    <row r="89" spans="1:13" x14ac:dyDescent="0.3">
      <c r="A89" s="1">
        <v>92</v>
      </c>
      <c r="B89" t="s">
        <v>511</v>
      </c>
      <c r="C89" t="s">
        <v>512</v>
      </c>
      <c r="D89">
        <v>2018</v>
      </c>
      <c r="E89" t="s">
        <v>170</v>
      </c>
      <c r="F89" t="s">
        <v>513</v>
      </c>
      <c r="G89" t="s">
        <v>514</v>
      </c>
      <c r="H89" t="s">
        <v>515</v>
      </c>
      <c r="J89" t="s">
        <v>17</v>
      </c>
      <c r="K89" t="s">
        <v>257</v>
      </c>
      <c r="L89" t="str">
        <f>VLOOKUP(B89,[2]Hoja1!A:E,2,FALSE)</f>
        <v>included</v>
      </c>
    </row>
    <row r="90" spans="1:13" x14ac:dyDescent="0.3">
      <c r="A90" s="1">
        <v>93</v>
      </c>
      <c r="B90" t="s">
        <v>516</v>
      </c>
      <c r="C90" t="s">
        <v>517</v>
      </c>
      <c r="D90">
        <v>2016</v>
      </c>
      <c r="E90" t="s">
        <v>170</v>
      </c>
      <c r="F90" t="s">
        <v>518</v>
      </c>
      <c r="G90" t="s">
        <v>519</v>
      </c>
      <c r="H90" t="s">
        <v>520</v>
      </c>
      <c r="I90" t="s">
        <v>521</v>
      </c>
      <c r="J90" t="s">
        <v>17</v>
      </c>
      <c r="K90" t="s">
        <v>234</v>
      </c>
      <c r="L90" t="str">
        <f>VLOOKUP(B90,[2]Hoja1!A:E,2,FALSE)</f>
        <v>excluded</v>
      </c>
      <c r="M90" t="str">
        <f>VLOOKUP(B90,[2]Hoja1!A:E,3,FALSE)</f>
        <v>text_or_data_mining</v>
      </c>
    </row>
    <row r="91" spans="1:13" x14ac:dyDescent="0.3">
      <c r="A91" s="1">
        <v>94</v>
      </c>
      <c r="B91" t="s">
        <v>522</v>
      </c>
      <c r="C91" t="s">
        <v>523</v>
      </c>
      <c r="D91">
        <v>2015</v>
      </c>
      <c r="E91" t="s">
        <v>170</v>
      </c>
      <c r="F91" t="s">
        <v>524</v>
      </c>
      <c r="I91" t="s">
        <v>525</v>
      </c>
      <c r="J91" t="s">
        <v>17</v>
      </c>
      <c r="K91" t="s">
        <v>437</v>
      </c>
      <c r="L91" t="str">
        <f>VLOOKUP(B91,[2]Hoja1!A:E,2,FALSE)</f>
        <v>included</v>
      </c>
    </row>
    <row r="92" spans="1:13" x14ac:dyDescent="0.3">
      <c r="A92" s="1">
        <v>95</v>
      </c>
      <c r="B92" t="s">
        <v>526</v>
      </c>
      <c r="D92">
        <v>2011</v>
      </c>
      <c r="E92" t="s">
        <v>170</v>
      </c>
      <c r="F92" t="s">
        <v>353</v>
      </c>
      <c r="J92" t="s">
        <v>17</v>
      </c>
      <c r="K92" t="s">
        <v>354</v>
      </c>
      <c r="L92" t="str">
        <f>VLOOKUP(B92,[2]Hoja1!A:E,2,FALSE)</f>
        <v>excluded</v>
      </c>
      <c r="M92" t="str">
        <f>VLOOKUP(B92,[2]Hoja1!A:E,3,FALSE)</f>
        <v>area_of_research</v>
      </c>
    </row>
    <row r="93" spans="1:13" x14ac:dyDescent="0.3">
      <c r="A93" s="1">
        <v>96</v>
      </c>
      <c r="B93" t="s">
        <v>527</v>
      </c>
      <c r="C93" t="s">
        <v>528</v>
      </c>
      <c r="D93">
        <v>2022</v>
      </c>
      <c r="E93" t="s">
        <v>170</v>
      </c>
      <c r="F93" t="s">
        <v>529</v>
      </c>
      <c r="H93" t="s">
        <v>530</v>
      </c>
      <c r="I93" t="s">
        <v>531</v>
      </c>
      <c r="J93" t="s">
        <v>17</v>
      </c>
      <c r="K93" t="s">
        <v>234</v>
      </c>
      <c r="L93" t="str">
        <f>VLOOKUP(B93,[2]Hoja1!A:E,2,FALSE)</f>
        <v>included</v>
      </c>
    </row>
    <row r="94" spans="1:13" x14ac:dyDescent="0.3">
      <c r="A94" s="1">
        <v>97</v>
      </c>
      <c r="B94" t="s">
        <v>532</v>
      </c>
      <c r="C94" t="s">
        <v>533</v>
      </c>
      <c r="D94">
        <v>2016</v>
      </c>
      <c r="E94" t="s">
        <v>170</v>
      </c>
      <c r="F94" t="s">
        <v>534</v>
      </c>
      <c r="G94" t="s">
        <v>535</v>
      </c>
      <c r="H94" t="s">
        <v>536</v>
      </c>
      <c r="I94" t="s">
        <v>537</v>
      </c>
      <c r="J94" t="s">
        <v>17</v>
      </c>
      <c r="K94" t="s">
        <v>18</v>
      </c>
      <c r="L94" t="str">
        <f>VLOOKUP(B94,[2]Hoja1!A:E,2,FALSE)</f>
        <v>included</v>
      </c>
    </row>
    <row r="95" spans="1:13" x14ac:dyDescent="0.3">
      <c r="A95" s="1">
        <v>98</v>
      </c>
      <c r="B95" t="s">
        <v>538</v>
      </c>
      <c r="C95" t="s">
        <v>539</v>
      </c>
      <c r="D95">
        <v>2023</v>
      </c>
      <c r="E95" t="s">
        <v>170</v>
      </c>
      <c r="F95" t="s">
        <v>540</v>
      </c>
      <c r="G95" t="s">
        <v>541</v>
      </c>
      <c r="H95" t="s">
        <v>542</v>
      </c>
      <c r="I95" t="s">
        <v>543</v>
      </c>
      <c r="J95" t="s">
        <v>17</v>
      </c>
      <c r="K95" t="s">
        <v>234</v>
      </c>
      <c r="L95" t="str">
        <f>VLOOKUP(B95,[2]Hoja1!A:E,2,FALSE)</f>
        <v>excluded</v>
      </c>
      <c r="M95" t="str">
        <f>VLOOKUP(B95,[2]Hoja1!A:E,3,FALSE)</f>
        <v>text_or_data_mining</v>
      </c>
    </row>
    <row r="96" spans="1:13" x14ac:dyDescent="0.3">
      <c r="A96" s="1">
        <v>99</v>
      </c>
      <c r="B96" t="s">
        <v>544</v>
      </c>
      <c r="C96" t="s">
        <v>545</v>
      </c>
      <c r="D96">
        <v>2006</v>
      </c>
      <c r="E96" t="s">
        <v>170</v>
      </c>
      <c r="F96" t="s">
        <v>546</v>
      </c>
      <c r="I96" t="s">
        <v>547</v>
      </c>
      <c r="J96" t="s">
        <v>17</v>
      </c>
      <c r="K96" t="s">
        <v>234</v>
      </c>
      <c r="L96" t="str">
        <f>VLOOKUP(B96,[2]Hoja1!A:E,2,FALSE)</f>
        <v>included</v>
      </c>
    </row>
    <row r="97" spans="1:13" x14ac:dyDescent="0.3">
      <c r="A97" s="1">
        <v>100</v>
      </c>
      <c r="B97" t="s">
        <v>548</v>
      </c>
      <c r="C97" t="s">
        <v>549</v>
      </c>
      <c r="D97">
        <v>2010</v>
      </c>
      <c r="E97" t="s">
        <v>170</v>
      </c>
      <c r="F97" t="s">
        <v>550</v>
      </c>
      <c r="G97" t="s">
        <v>551</v>
      </c>
      <c r="H97" t="s">
        <v>552</v>
      </c>
      <c r="I97" t="s">
        <v>553</v>
      </c>
      <c r="J97" t="s">
        <v>17</v>
      </c>
      <c r="K97" t="s">
        <v>18</v>
      </c>
      <c r="L97" t="str">
        <f>VLOOKUP(B97,[2]Hoja1!A:E,2,FALSE)</f>
        <v>excluded</v>
      </c>
      <c r="M97" t="str">
        <f>VLOOKUP(B97,[2]Hoja1!A:E,3,FALSE)</f>
        <v>area_of_research</v>
      </c>
    </row>
    <row r="98" spans="1:13" x14ac:dyDescent="0.3">
      <c r="A98" s="1">
        <v>101</v>
      </c>
      <c r="B98" t="s">
        <v>554</v>
      </c>
      <c r="C98" t="s">
        <v>555</v>
      </c>
      <c r="D98">
        <v>2023</v>
      </c>
      <c r="E98" t="s">
        <v>170</v>
      </c>
      <c r="F98" t="s">
        <v>556</v>
      </c>
      <c r="G98" t="s">
        <v>557</v>
      </c>
      <c r="H98" t="s">
        <v>558</v>
      </c>
      <c r="I98" t="s">
        <v>559</v>
      </c>
      <c r="J98" t="s">
        <v>17</v>
      </c>
      <c r="K98" t="s">
        <v>18</v>
      </c>
      <c r="L98" t="str">
        <f>VLOOKUP(B98,[2]Hoja1!A:E,2,FALSE)</f>
        <v>excluded</v>
      </c>
      <c r="M98" t="str">
        <f>VLOOKUP(B98,[2]Hoja1!A:E,3,FALSE)</f>
        <v>area_of_research</v>
      </c>
    </row>
    <row r="99" spans="1:13" x14ac:dyDescent="0.3">
      <c r="A99" s="1">
        <v>102</v>
      </c>
      <c r="B99" t="s">
        <v>560</v>
      </c>
      <c r="C99" t="s">
        <v>561</v>
      </c>
      <c r="D99">
        <v>2021</v>
      </c>
      <c r="E99" t="s">
        <v>170</v>
      </c>
      <c r="F99" t="s">
        <v>562</v>
      </c>
      <c r="G99" t="s">
        <v>563</v>
      </c>
      <c r="I99" t="s">
        <v>564</v>
      </c>
      <c r="J99" t="s">
        <v>17</v>
      </c>
      <c r="K99" t="s">
        <v>18</v>
      </c>
      <c r="L99" t="str">
        <f>VLOOKUP(B99,[2]Hoja1!A:E,2,FALSE)</f>
        <v>excluded</v>
      </c>
      <c r="M99" t="str">
        <f>VLOOKUP(B99,[2]Hoja1!A:E,3,FALSE)</f>
        <v>area_of_research</v>
      </c>
    </row>
    <row r="100" spans="1:13" x14ac:dyDescent="0.3">
      <c r="A100" s="1">
        <v>103</v>
      </c>
      <c r="B100" t="s">
        <v>565</v>
      </c>
      <c r="C100" t="s">
        <v>566</v>
      </c>
      <c r="D100">
        <v>2025</v>
      </c>
      <c r="E100" t="s">
        <v>170</v>
      </c>
      <c r="F100" t="s">
        <v>567</v>
      </c>
      <c r="G100" t="s">
        <v>139</v>
      </c>
      <c r="I100" t="s">
        <v>568</v>
      </c>
      <c r="J100" t="s">
        <v>17</v>
      </c>
      <c r="K100" t="s">
        <v>18</v>
      </c>
      <c r="L100" t="str">
        <f>VLOOKUP(B100,[2]Hoja1!A:E,2,FALSE)</f>
        <v>excluded</v>
      </c>
      <c r="M100" t="str">
        <f>VLOOKUP(B100,[2]Hoja1!A:E,3,FALSE)</f>
        <v>area_of_research</v>
      </c>
    </row>
    <row r="101" spans="1:13" x14ac:dyDescent="0.3">
      <c r="A101" s="1">
        <v>104</v>
      </c>
      <c r="B101" t="s">
        <v>569</v>
      </c>
      <c r="C101" t="s">
        <v>570</v>
      </c>
      <c r="D101">
        <v>2017</v>
      </c>
      <c r="E101" t="s">
        <v>170</v>
      </c>
      <c r="F101" t="s">
        <v>571</v>
      </c>
      <c r="G101" t="s">
        <v>572</v>
      </c>
      <c r="H101" t="s">
        <v>573</v>
      </c>
      <c r="I101" t="s">
        <v>574</v>
      </c>
      <c r="J101" t="s">
        <v>17</v>
      </c>
      <c r="K101" t="s">
        <v>18</v>
      </c>
      <c r="L101" t="str">
        <f>VLOOKUP(B101,[2]Hoja1!A:E,2,FALSE)</f>
        <v>excluded</v>
      </c>
      <c r="M101" t="str">
        <f>VLOOKUP(B101,[2]Hoja1!A:E,3,FALSE)</f>
        <v>area_of_research</v>
      </c>
    </row>
    <row r="102" spans="1:13" x14ac:dyDescent="0.3">
      <c r="A102" s="1">
        <v>105</v>
      </c>
      <c r="B102" t="s">
        <v>575</v>
      </c>
      <c r="C102" t="s">
        <v>576</v>
      </c>
      <c r="D102">
        <v>2024</v>
      </c>
      <c r="E102" t="s">
        <v>170</v>
      </c>
      <c r="F102" t="s">
        <v>577</v>
      </c>
      <c r="G102" t="s">
        <v>578</v>
      </c>
      <c r="J102" t="s">
        <v>17</v>
      </c>
      <c r="K102" t="s">
        <v>234</v>
      </c>
      <c r="L102" t="str">
        <f>VLOOKUP(B102,[2]Hoja1!A:E,2,FALSE)</f>
        <v>excluded</v>
      </c>
      <c r="M102" t="str">
        <f>VLOOKUP(B102,[2]Hoja1!A:E,3,FALSE)</f>
        <v>area_of_research</v>
      </c>
    </row>
    <row r="103" spans="1:13" x14ac:dyDescent="0.3">
      <c r="A103" s="1">
        <v>106</v>
      </c>
      <c r="B103" t="s">
        <v>579</v>
      </c>
      <c r="C103" t="s">
        <v>580</v>
      </c>
      <c r="D103">
        <v>2025</v>
      </c>
      <c r="E103" t="s">
        <v>170</v>
      </c>
      <c r="F103" t="s">
        <v>581</v>
      </c>
      <c r="G103" t="s">
        <v>582</v>
      </c>
      <c r="H103" t="s">
        <v>583</v>
      </c>
      <c r="I103" t="s">
        <v>584</v>
      </c>
      <c r="J103" t="s">
        <v>17</v>
      </c>
      <c r="K103" t="s">
        <v>18</v>
      </c>
      <c r="L103" t="str">
        <f>VLOOKUP(B103,[2]Hoja1!A:E,2,FALSE)</f>
        <v>excluded</v>
      </c>
      <c r="M103" t="str">
        <f>VLOOKUP(B103,[2]Hoja1!A:E,3,FALSE)</f>
        <v>area_of_research</v>
      </c>
    </row>
    <row r="104" spans="1:13" x14ac:dyDescent="0.3">
      <c r="A104" s="1">
        <v>107</v>
      </c>
      <c r="B104" t="s">
        <v>585</v>
      </c>
      <c r="D104">
        <v>2023</v>
      </c>
      <c r="E104" t="s">
        <v>170</v>
      </c>
      <c r="F104" t="s">
        <v>586</v>
      </c>
      <c r="J104" t="s">
        <v>17</v>
      </c>
      <c r="K104" t="s">
        <v>354</v>
      </c>
      <c r="L104" t="str">
        <f>VLOOKUP(B104,[2]Hoja1!A:E,2,FALSE)</f>
        <v>excluded</v>
      </c>
      <c r="M104" t="str">
        <f>VLOOKUP(B104,[2]Hoja1!A:E,3,FALSE)</f>
        <v>area_of_research</v>
      </c>
    </row>
    <row r="105" spans="1:13" x14ac:dyDescent="0.3">
      <c r="A105" s="1">
        <v>108</v>
      </c>
      <c r="B105" t="s">
        <v>587</v>
      </c>
      <c r="C105" t="s">
        <v>588</v>
      </c>
      <c r="D105">
        <v>2025</v>
      </c>
      <c r="E105" t="s">
        <v>170</v>
      </c>
      <c r="F105" t="s">
        <v>589</v>
      </c>
      <c r="G105" t="s">
        <v>590</v>
      </c>
      <c r="H105" t="s">
        <v>591</v>
      </c>
      <c r="I105" t="s">
        <v>592</v>
      </c>
      <c r="J105" t="s">
        <v>17</v>
      </c>
      <c r="K105" t="s">
        <v>18</v>
      </c>
      <c r="L105" t="str">
        <f>VLOOKUP(B105,[2]Hoja1!A:E,2,FALSE)</f>
        <v>included</v>
      </c>
    </row>
    <row r="106" spans="1:13" x14ac:dyDescent="0.3">
      <c r="A106" s="1">
        <v>109</v>
      </c>
      <c r="B106" t="s">
        <v>593</v>
      </c>
      <c r="C106" t="s">
        <v>594</v>
      </c>
      <c r="D106">
        <v>2014</v>
      </c>
      <c r="E106" t="s">
        <v>170</v>
      </c>
      <c r="F106" t="s">
        <v>595</v>
      </c>
      <c r="G106" t="s">
        <v>596</v>
      </c>
      <c r="H106" t="s">
        <v>597</v>
      </c>
      <c r="I106" t="s">
        <v>598</v>
      </c>
      <c r="J106" t="s">
        <v>17</v>
      </c>
      <c r="K106" t="s">
        <v>18</v>
      </c>
      <c r="L106" t="str">
        <f>VLOOKUP(B106,[2]Hoja1!A:E,2,FALSE)</f>
        <v>included</v>
      </c>
    </row>
    <row r="107" spans="1:13" x14ac:dyDescent="0.3">
      <c r="A107" s="1">
        <v>110</v>
      </c>
      <c r="B107" t="s">
        <v>599</v>
      </c>
      <c r="C107" t="s">
        <v>600</v>
      </c>
      <c r="D107">
        <v>2021</v>
      </c>
      <c r="E107" t="s">
        <v>170</v>
      </c>
      <c r="F107" t="s">
        <v>601</v>
      </c>
      <c r="G107" t="s">
        <v>602</v>
      </c>
      <c r="H107" t="s">
        <v>603</v>
      </c>
      <c r="I107" t="s">
        <v>604</v>
      </c>
      <c r="J107" t="s">
        <v>17</v>
      </c>
      <c r="K107" t="s">
        <v>18</v>
      </c>
      <c r="L107" t="str">
        <f>VLOOKUP(B107,[2]Hoja1!A:E,2,FALSE)</f>
        <v>included</v>
      </c>
    </row>
    <row r="108" spans="1:13" x14ac:dyDescent="0.3">
      <c r="A108" s="1">
        <v>111</v>
      </c>
      <c r="B108" t="s">
        <v>605</v>
      </c>
      <c r="C108" t="s">
        <v>606</v>
      </c>
      <c r="D108">
        <v>2025</v>
      </c>
      <c r="E108" t="s">
        <v>170</v>
      </c>
      <c r="F108" t="s">
        <v>607</v>
      </c>
      <c r="G108" t="s">
        <v>608</v>
      </c>
      <c r="H108" t="s">
        <v>609</v>
      </c>
      <c r="I108" t="s">
        <v>610</v>
      </c>
      <c r="J108" t="s">
        <v>17</v>
      </c>
      <c r="K108" t="s">
        <v>18</v>
      </c>
      <c r="L108" t="str">
        <f>VLOOKUP(B108,[2]Hoja1!A:E,2,FALSE)</f>
        <v>included</v>
      </c>
    </row>
    <row r="109" spans="1:13" x14ac:dyDescent="0.3">
      <c r="A109" s="1">
        <v>112</v>
      </c>
      <c r="B109" t="s">
        <v>611</v>
      </c>
      <c r="C109" t="s">
        <v>612</v>
      </c>
      <c r="D109">
        <v>2014</v>
      </c>
      <c r="E109" t="s">
        <v>170</v>
      </c>
      <c r="F109" t="s">
        <v>613</v>
      </c>
      <c r="G109" t="s">
        <v>614</v>
      </c>
      <c r="H109" t="s">
        <v>615</v>
      </c>
      <c r="I109" t="s">
        <v>616</v>
      </c>
      <c r="J109" t="s">
        <v>17</v>
      </c>
      <c r="K109" t="s">
        <v>18</v>
      </c>
      <c r="L109" t="str">
        <f>VLOOKUP(B109,[2]Hoja1!A:E,2,FALSE)</f>
        <v>included</v>
      </c>
    </row>
    <row r="110" spans="1:13" x14ac:dyDescent="0.3">
      <c r="A110" s="1">
        <v>113</v>
      </c>
      <c r="B110" t="s">
        <v>617</v>
      </c>
      <c r="C110" t="s">
        <v>618</v>
      </c>
      <c r="D110">
        <v>2015</v>
      </c>
      <c r="E110" t="s">
        <v>170</v>
      </c>
      <c r="F110" t="s">
        <v>619</v>
      </c>
      <c r="G110" t="s">
        <v>620</v>
      </c>
      <c r="H110" t="s">
        <v>621</v>
      </c>
      <c r="I110" t="s">
        <v>622</v>
      </c>
      <c r="J110" t="s">
        <v>17</v>
      </c>
      <c r="K110" t="s">
        <v>18</v>
      </c>
      <c r="L110" t="str">
        <f>VLOOKUP(B110,[2]Hoja1!A:E,2,FALSE)</f>
        <v>excluded</v>
      </c>
      <c r="M110" t="str">
        <f>VLOOKUP(B110,[2]Hoja1!A:E,3,FALSE)</f>
        <v>area_of_research</v>
      </c>
    </row>
    <row r="111" spans="1:13" x14ac:dyDescent="0.3">
      <c r="A111" s="1">
        <v>114</v>
      </c>
      <c r="B111" t="s">
        <v>623</v>
      </c>
      <c r="C111" t="s">
        <v>624</v>
      </c>
      <c r="D111">
        <v>2023</v>
      </c>
      <c r="E111" t="s">
        <v>170</v>
      </c>
      <c r="F111" t="s">
        <v>625</v>
      </c>
      <c r="G111" t="s">
        <v>23</v>
      </c>
      <c r="H111" t="s">
        <v>626</v>
      </c>
      <c r="J111" t="s">
        <v>17</v>
      </c>
      <c r="K111" t="s">
        <v>18</v>
      </c>
      <c r="L111" t="str">
        <f>VLOOKUP(B111,[2]Hoja1!A:E,2,FALSE)</f>
        <v>excluded</v>
      </c>
      <c r="M111" t="str">
        <f>VLOOKUP(B111,[2]Hoja1!A:E,3,FALSE)</f>
        <v>text_or_data_mining</v>
      </c>
    </row>
    <row r="112" spans="1:13" x14ac:dyDescent="0.3">
      <c r="A112" s="1">
        <v>115</v>
      </c>
      <c r="B112" t="s">
        <v>627</v>
      </c>
      <c r="D112">
        <v>2012</v>
      </c>
      <c r="E112" t="s">
        <v>170</v>
      </c>
      <c r="F112" t="s">
        <v>628</v>
      </c>
      <c r="J112" t="s">
        <v>17</v>
      </c>
      <c r="K112" t="s">
        <v>18</v>
      </c>
      <c r="L112" t="str">
        <f>VLOOKUP(B112,[2]Hoja1!A:E,2,FALSE)</f>
        <v>excluded</v>
      </c>
      <c r="M112" t="str">
        <f>VLOOKUP(B112,[2]Hoja1!A:E,3,FALSE)</f>
        <v>area_of_research</v>
      </c>
    </row>
    <row r="113" spans="1:13" x14ac:dyDescent="0.3">
      <c r="A113" s="1">
        <v>116</v>
      </c>
      <c r="B113" t="s">
        <v>629</v>
      </c>
      <c r="C113" t="s">
        <v>630</v>
      </c>
      <c r="D113">
        <v>2018</v>
      </c>
      <c r="E113" t="s">
        <v>170</v>
      </c>
      <c r="F113" t="s">
        <v>631</v>
      </c>
      <c r="G113" t="s">
        <v>632</v>
      </c>
      <c r="H113" t="s">
        <v>633</v>
      </c>
      <c r="I113" t="s">
        <v>634</v>
      </c>
      <c r="J113" t="s">
        <v>17</v>
      </c>
      <c r="K113" t="s">
        <v>18</v>
      </c>
      <c r="L113" t="str">
        <f>VLOOKUP(B113,[2]Hoja1!A:E,2,FALSE)</f>
        <v>excluded</v>
      </c>
      <c r="M113" t="str">
        <f>VLOOKUP(B113,[2]Hoja1!A:E,3,FALSE)</f>
        <v>area_of_research</v>
      </c>
    </row>
    <row r="114" spans="1:13" x14ac:dyDescent="0.3">
      <c r="A114" s="1">
        <v>117</v>
      </c>
      <c r="B114" t="s">
        <v>635</v>
      </c>
      <c r="C114" t="s">
        <v>636</v>
      </c>
      <c r="D114">
        <v>2020</v>
      </c>
      <c r="E114" t="s">
        <v>170</v>
      </c>
      <c r="F114" t="s">
        <v>637</v>
      </c>
      <c r="G114" t="s">
        <v>638</v>
      </c>
      <c r="H114" t="s">
        <v>639</v>
      </c>
      <c r="I114" t="s">
        <v>640</v>
      </c>
      <c r="J114" t="s">
        <v>17</v>
      </c>
      <c r="K114" t="s">
        <v>18</v>
      </c>
      <c r="L114" t="str">
        <f>VLOOKUP(B114,[2]Hoja1!A:E,2,FALSE)</f>
        <v>excluded</v>
      </c>
      <c r="M114" t="str">
        <f>VLOOKUP(B114,[2]Hoja1!A:E,3,FALSE)</f>
        <v>area_of_research</v>
      </c>
    </row>
    <row r="115" spans="1:13" x14ac:dyDescent="0.3">
      <c r="A115" s="1">
        <v>118</v>
      </c>
      <c r="B115" t="s">
        <v>641</v>
      </c>
      <c r="C115" t="s">
        <v>642</v>
      </c>
      <c r="D115">
        <v>2011</v>
      </c>
      <c r="E115" t="s">
        <v>170</v>
      </c>
      <c r="F115" t="s">
        <v>643</v>
      </c>
      <c r="H115" t="s">
        <v>644</v>
      </c>
      <c r="I115" t="s">
        <v>645</v>
      </c>
      <c r="J115" t="s">
        <v>17</v>
      </c>
      <c r="K115" t="s">
        <v>234</v>
      </c>
      <c r="L115" t="str">
        <f>VLOOKUP(B115,[2]Hoja1!A:E,2,FALSE)</f>
        <v>included</v>
      </c>
    </row>
    <row r="116" spans="1:13" x14ac:dyDescent="0.3">
      <c r="A116" s="1">
        <v>119</v>
      </c>
      <c r="B116" t="s">
        <v>646</v>
      </c>
      <c r="C116" t="s">
        <v>647</v>
      </c>
      <c r="D116">
        <v>2023</v>
      </c>
      <c r="E116" t="s">
        <v>170</v>
      </c>
      <c r="F116" t="s">
        <v>648</v>
      </c>
      <c r="G116" t="s">
        <v>649</v>
      </c>
      <c r="J116" t="s">
        <v>17</v>
      </c>
      <c r="K116" t="s">
        <v>257</v>
      </c>
      <c r="L116" t="str">
        <f>VLOOKUP(B116,[2]Hoja1!A:E,2,FALSE)</f>
        <v>included</v>
      </c>
    </row>
    <row r="117" spans="1:13" x14ac:dyDescent="0.3">
      <c r="A117" s="1">
        <v>120</v>
      </c>
      <c r="B117" t="s">
        <v>650</v>
      </c>
      <c r="C117" t="s">
        <v>651</v>
      </c>
      <c r="D117">
        <v>2003</v>
      </c>
      <c r="E117" t="s">
        <v>170</v>
      </c>
      <c r="F117" t="s">
        <v>652</v>
      </c>
      <c r="I117" t="s">
        <v>653</v>
      </c>
      <c r="J117" t="s">
        <v>17</v>
      </c>
      <c r="K117" t="s">
        <v>18</v>
      </c>
      <c r="L117" t="str">
        <f>VLOOKUP(B117,[2]Hoja1!A:E,2,FALSE)</f>
        <v>excluded</v>
      </c>
      <c r="M117" t="str">
        <f>VLOOKUP(B117,[2]Hoja1!A:E,3,FALSE)</f>
        <v>area_of_research</v>
      </c>
    </row>
    <row r="118" spans="1:13" x14ac:dyDescent="0.3">
      <c r="A118" s="1">
        <v>121</v>
      </c>
      <c r="B118" t="s">
        <v>654</v>
      </c>
      <c r="C118" t="s">
        <v>655</v>
      </c>
      <c r="D118">
        <v>2025</v>
      </c>
      <c r="E118" t="s">
        <v>170</v>
      </c>
      <c r="F118" t="s">
        <v>656</v>
      </c>
      <c r="G118" t="s">
        <v>657</v>
      </c>
      <c r="H118" t="s">
        <v>658</v>
      </c>
      <c r="I118" t="s">
        <v>659</v>
      </c>
      <c r="J118" t="s">
        <v>17</v>
      </c>
      <c r="K118" t="s">
        <v>18</v>
      </c>
      <c r="L118" t="str">
        <f>VLOOKUP(B118,[2]Hoja1!A:E,2,FALSE)</f>
        <v>excluded</v>
      </c>
      <c r="M118" t="str">
        <f>VLOOKUP(B118,[2]Hoja1!A:E,3,FALSE)</f>
        <v>text_or_data_mining</v>
      </c>
    </row>
    <row r="119" spans="1:13" x14ac:dyDescent="0.3">
      <c r="A119" s="1">
        <v>122</v>
      </c>
      <c r="B119" t="s">
        <v>660</v>
      </c>
      <c r="C119" t="s">
        <v>661</v>
      </c>
      <c r="D119">
        <v>2025</v>
      </c>
      <c r="E119" t="s">
        <v>170</v>
      </c>
      <c r="F119" t="s">
        <v>662</v>
      </c>
      <c r="G119" t="s">
        <v>663</v>
      </c>
      <c r="H119" t="s">
        <v>664</v>
      </c>
      <c r="J119" t="s">
        <v>17</v>
      </c>
      <c r="K119" t="s">
        <v>18</v>
      </c>
      <c r="L119" t="str">
        <f>VLOOKUP(B119,[2]Hoja1!A:E,2,FALSE)</f>
        <v>included</v>
      </c>
    </row>
    <row r="120" spans="1:13" x14ac:dyDescent="0.3">
      <c r="A120" s="1">
        <v>123</v>
      </c>
      <c r="B120" t="s">
        <v>665</v>
      </c>
      <c r="C120" t="s">
        <v>666</v>
      </c>
      <c r="D120">
        <v>2016</v>
      </c>
      <c r="E120" t="s">
        <v>170</v>
      </c>
      <c r="F120" t="s">
        <v>667</v>
      </c>
      <c r="G120" t="s">
        <v>668</v>
      </c>
      <c r="H120" t="s">
        <v>669</v>
      </c>
      <c r="I120" t="s">
        <v>670</v>
      </c>
      <c r="J120" t="s">
        <v>17</v>
      </c>
      <c r="K120" t="s">
        <v>18</v>
      </c>
      <c r="L120" t="str">
        <f>VLOOKUP(B120,[2]Hoja1!A:E,2,FALSE)</f>
        <v>excluded</v>
      </c>
      <c r="M120" t="str">
        <f>VLOOKUP(B120,[2]Hoja1!A:E,3,FALSE)</f>
        <v>area_of_research</v>
      </c>
    </row>
    <row r="121" spans="1:13" x14ac:dyDescent="0.3">
      <c r="A121" s="1">
        <v>124</v>
      </c>
      <c r="B121" t="s">
        <v>671</v>
      </c>
      <c r="C121" t="s">
        <v>672</v>
      </c>
      <c r="D121">
        <v>2017</v>
      </c>
      <c r="E121" t="s">
        <v>170</v>
      </c>
      <c r="F121" t="s">
        <v>673</v>
      </c>
      <c r="G121" t="s">
        <v>674</v>
      </c>
      <c r="H121" t="s">
        <v>675</v>
      </c>
      <c r="J121" t="s">
        <v>17</v>
      </c>
      <c r="K121" t="s">
        <v>18</v>
      </c>
      <c r="L121" t="str">
        <f>VLOOKUP(B121,[2]Hoja1!A:E,2,FALSE)</f>
        <v>excluded</v>
      </c>
      <c r="M121" t="str">
        <f>VLOOKUP(B121,[2]Hoja1!A:E,3,FALSE)</f>
        <v>area_of_research</v>
      </c>
    </row>
    <row r="122" spans="1:13" x14ac:dyDescent="0.3">
      <c r="A122" s="1">
        <v>125</v>
      </c>
      <c r="B122" t="s">
        <v>676</v>
      </c>
      <c r="D122">
        <v>2014</v>
      </c>
      <c r="E122" t="s">
        <v>170</v>
      </c>
      <c r="F122" t="s">
        <v>677</v>
      </c>
      <c r="J122" t="s">
        <v>17</v>
      </c>
      <c r="K122" t="s">
        <v>354</v>
      </c>
      <c r="L122" t="str">
        <f>VLOOKUP(B122,[2]Hoja1!A:E,2,FALSE)</f>
        <v>excluded</v>
      </c>
      <c r="M122" t="str">
        <f>VLOOKUP(B122,[2]Hoja1!A:E,3,FALSE)</f>
        <v>area_of_research</v>
      </c>
    </row>
    <row r="123" spans="1:13" x14ac:dyDescent="0.3">
      <c r="A123" s="1">
        <v>126</v>
      </c>
      <c r="B123" t="s">
        <v>678</v>
      </c>
      <c r="C123" t="s">
        <v>679</v>
      </c>
      <c r="D123">
        <v>2008</v>
      </c>
      <c r="E123" t="s">
        <v>170</v>
      </c>
      <c r="F123" t="s">
        <v>680</v>
      </c>
      <c r="G123" t="s">
        <v>681</v>
      </c>
      <c r="H123" t="s">
        <v>682</v>
      </c>
      <c r="I123" t="s">
        <v>683</v>
      </c>
      <c r="J123" t="s">
        <v>17</v>
      </c>
      <c r="K123" t="s">
        <v>18</v>
      </c>
      <c r="L123" t="str">
        <f>VLOOKUP(B123,[2]Hoja1!A:E,2,FALSE)</f>
        <v>included</v>
      </c>
    </row>
    <row r="124" spans="1:13" x14ac:dyDescent="0.3">
      <c r="A124" s="1">
        <v>127</v>
      </c>
      <c r="B124" t="s">
        <v>684</v>
      </c>
      <c r="C124" t="s">
        <v>685</v>
      </c>
      <c r="D124">
        <v>2026</v>
      </c>
      <c r="E124" t="s">
        <v>170</v>
      </c>
      <c r="F124" t="s">
        <v>686</v>
      </c>
      <c r="G124" t="s">
        <v>687</v>
      </c>
      <c r="H124" t="s">
        <v>688</v>
      </c>
      <c r="J124" t="s">
        <v>17</v>
      </c>
      <c r="K124" t="s">
        <v>18</v>
      </c>
      <c r="L124" t="str">
        <f>VLOOKUP(B124,[2]Hoja1!A:E,2,FALSE)</f>
        <v>excluded</v>
      </c>
      <c r="M124" t="str">
        <f>VLOOKUP(B124,[2]Hoja1!A:E,3,FALSE)</f>
        <v>area_of_research</v>
      </c>
    </row>
    <row r="125" spans="1:13" x14ac:dyDescent="0.3">
      <c r="A125" s="1">
        <v>128</v>
      </c>
      <c r="B125" t="s">
        <v>689</v>
      </c>
      <c r="C125" t="s">
        <v>690</v>
      </c>
      <c r="D125">
        <v>2025</v>
      </c>
      <c r="E125" t="s">
        <v>170</v>
      </c>
      <c r="F125" t="s">
        <v>691</v>
      </c>
      <c r="G125" t="s">
        <v>692</v>
      </c>
      <c r="H125" t="s">
        <v>693</v>
      </c>
      <c r="I125" t="s">
        <v>694</v>
      </c>
      <c r="J125" t="s">
        <v>17</v>
      </c>
      <c r="K125" t="s">
        <v>18</v>
      </c>
      <c r="L125" t="str">
        <f>VLOOKUP(B125,[2]Hoja1!A:E,2,FALSE)</f>
        <v>excluded</v>
      </c>
      <c r="M125" t="str">
        <f>VLOOKUP(B125,[2]Hoja1!A:E,3,FALSE)</f>
        <v>area_of_research</v>
      </c>
    </row>
    <row r="126" spans="1:13" x14ac:dyDescent="0.3">
      <c r="A126" s="1">
        <v>129</v>
      </c>
      <c r="B126" t="s">
        <v>695</v>
      </c>
      <c r="C126" t="s">
        <v>696</v>
      </c>
      <c r="D126">
        <v>2025</v>
      </c>
      <c r="E126" t="s">
        <v>170</v>
      </c>
      <c r="F126" t="s">
        <v>697</v>
      </c>
      <c r="G126" t="s">
        <v>698</v>
      </c>
      <c r="H126" t="s">
        <v>699</v>
      </c>
      <c r="I126" t="s">
        <v>700</v>
      </c>
      <c r="J126" t="s">
        <v>17</v>
      </c>
      <c r="K126" t="s">
        <v>18</v>
      </c>
      <c r="L126" t="str">
        <f>VLOOKUP(B126,[2]Hoja1!A:E,2,FALSE)</f>
        <v>included</v>
      </c>
    </row>
    <row r="127" spans="1:13" x14ac:dyDescent="0.3">
      <c r="A127" s="1">
        <v>130</v>
      </c>
      <c r="B127" t="s">
        <v>701</v>
      </c>
      <c r="C127" t="s">
        <v>702</v>
      </c>
      <c r="D127">
        <v>2015</v>
      </c>
      <c r="E127" t="s">
        <v>170</v>
      </c>
      <c r="F127" t="s">
        <v>703</v>
      </c>
      <c r="G127" t="s">
        <v>704</v>
      </c>
      <c r="H127" t="s">
        <v>705</v>
      </c>
      <c r="J127" t="s">
        <v>17</v>
      </c>
      <c r="K127" t="s">
        <v>18</v>
      </c>
      <c r="L127" t="str">
        <f>VLOOKUP(B127,[2]Hoja1!A:E,2,FALSE)</f>
        <v>excluded</v>
      </c>
      <c r="M127" t="str">
        <f>VLOOKUP(B127,[2]Hoja1!A:E,3,FALSE)</f>
        <v>area_of_research</v>
      </c>
    </row>
    <row r="128" spans="1:13" x14ac:dyDescent="0.3">
      <c r="A128" s="1">
        <v>131</v>
      </c>
      <c r="B128" t="s">
        <v>706</v>
      </c>
      <c r="C128" t="s">
        <v>707</v>
      </c>
      <c r="D128">
        <v>2023</v>
      </c>
      <c r="E128" t="s">
        <v>170</v>
      </c>
      <c r="F128" t="s">
        <v>708</v>
      </c>
      <c r="G128" t="s">
        <v>709</v>
      </c>
      <c r="H128" t="s">
        <v>710</v>
      </c>
      <c r="J128" t="s">
        <v>17</v>
      </c>
      <c r="K128" t="s">
        <v>18</v>
      </c>
      <c r="L128" t="str">
        <f>VLOOKUP(B128,[2]Hoja1!A:E,2,FALSE)</f>
        <v>included</v>
      </c>
    </row>
    <row r="129" spans="1:13" x14ac:dyDescent="0.3">
      <c r="A129" s="1">
        <v>132</v>
      </c>
      <c r="B129" t="s">
        <v>711</v>
      </c>
      <c r="D129">
        <v>2016</v>
      </c>
      <c r="E129" t="s">
        <v>170</v>
      </c>
      <c r="F129" t="s">
        <v>712</v>
      </c>
      <c r="J129" t="s">
        <v>17</v>
      </c>
      <c r="K129" t="s">
        <v>354</v>
      </c>
      <c r="L129" t="str">
        <f>VLOOKUP(B129,[2]Hoja1!A:E,2,FALSE)</f>
        <v>excluded</v>
      </c>
      <c r="M129" t="str">
        <f>VLOOKUP(B129,[2]Hoja1!A:E,3,FALSE)</f>
        <v>area_of_research</v>
      </c>
    </row>
    <row r="130" spans="1:13" x14ac:dyDescent="0.3">
      <c r="A130" s="1">
        <v>133</v>
      </c>
      <c r="B130" t="s">
        <v>713</v>
      </c>
      <c r="C130" t="s">
        <v>612</v>
      </c>
      <c r="D130">
        <v>2021</v>
      </c>
      <c r="E130" t="s">
        <v>170</v>
      </c>
      <c r="F130" t="s">
        <v>714</v>
      </c>
      <c r="G130" t="s">
        <v>715</v>
      </c>
      <c r="H130" t="s">
        <v>716</v>
      </c>
      <c r="I130" t="s">
        <v>717</v>
      </c>
      <c r="J130" t="s">
        <v>17</v>
      </c>
      <c r="K130" t="s">
        <v>18</v>
      </c>
      <c r="L130" t="str">
        <f>VLOOKUP(B130,[2]Hoja1!A:E,2,FALSE)</f>
        <v>included</v>
      </c>
    </row>
    <row r="131" spans="1:13" x14ac:dyDescent="0.3">
      <c r="A131" s="1">
        <v>135</v>
      </c>
      <c r="B131" t="s">
        <v>718</v>
      </c>
      <c r="C131" t="s">
        <v>719</v>
      </c>
      <c r="D131">
        <v>2024</v>
      </c>
      <c r="E131" t="s">
        <v>170</v>
      </c>
      <c r="F131" t="s">
        <v>720</v>
      </c>
      <c r="G131" t="s">
        <v>721</v>
      </c>
      <c r="H131" t="s">
        <v>722</v>
      </c>
      <c r="I131" t="s">
        <v>723</v>
      </c>
      <c r="J131" t="s">
        <v>17</v>
      </c>
      <c r="K131" t="s">
        <v>18</v>
      </c>
      <c r="L131" t="str">
        <f>VLOOKUP(B131,[2]Hoja1!A:E,2,FALSE)</f>
        <v>included</v>
      </c>
    </row>
    <row r="132" spans="1:13" x14ac:dyDescent="0.3">
      <c r="A132" s="1">
        <v>136</v>
      </c>
      <c r="B132" t="s">
        <v>724</v>
      </c>
      <c r="C132" t="s">
        <v>725</v>
      </c>
      <c r="D132">
        <v>2025</v>
      </c>
      <c r="E132" t="s">
        <v>170</v>
      </c>
      <c r="F132" t="s">
        <v>726</v>
      </c>
      <c r="G132" t="s">
        <v>727</v>
      </c>
      <c r="H132" t="s">
        <v>728</v>
      </c>
      <c r="J132" t="s">
        <v>17</v>
      </c>
      <c r="K132" t="s">
        <v>18</v>
      </c>
      <c r="L132" t="str">
        <f>VLOOKUP(B132,[2]Hoja1!A:E,2,FALSE)</f>
        <v>excluded</v>
      </c>
      <c r="M132" t="str">
        <f>VLOOKUP(B132,[2]Hoja1!A:E,3,FALSE)</f>
        <v>area_of_research</v>
      </c>
    </row>
    <row r="133" spans="1:13" x14ac:dyDescent="0.3">
      <c r="A133" s="1">
        <v>137</v>
      </c>
      <c r="B133" t="s">
        <v>729</v>
      </c>
      <c r="C133" t="s">
        <v>730</v>
      </c>
      <c r="D133">
        <v>2021</v>
      </c>
      <c r="E133" t="s">
        <v>170</v>
      </c>
      <c r="F133" t="s">
        <v>731</v>
      </c>
      <c r="G133" t="s">
        <v>732</v>
      </c>
      <c r="H133" t="s">
        <v>733</v>
      </c>
      <c r="I133" t="s">
        <v>734</v>
      </c>
      <c r="J133" t="s">
        <v>17</v>
      </c>
      <c r="K133" t="s">
        <v>18</v>
      </c>
      <c r="L133" t="str">
        <f>VLOOKUP(B133,[2]Hoja1!A:E,2,FALSE)</f>
        <v>included</v>
      </c>
    </row>
    <row r="134" spans="1:13" x14ac:dyDescent="0.3">
      <c r="A134" s="1">
        <v>138</v>
      </c>
      <c r="B134" t="s">
        <v>735</v>
      </c>
      <c r="C134" t="s">
        <v>736</v>
      </c>
      <c r="D134">
        <v>2026</v>
      </c>
      <c r="E134" t="s">
        <v>170</v>
      </c>
      <c r="F134" t="s">
        <v>737</v>
      </c>
      <c r="G134" t="s">
        <v>738</v>
      </c>
      <c r="H134" t="s">
        <v>739</v>
      </c>
      <c r="I134" t="s">
        <v>740</v>
      </c>
      <c r="J134" t="s">
        <v>17</v>
      </c>
      <c r="K134" t="s">
        <v>18</v>
      </c>
      <c r="L134" t="str">
        <f>VLOOKUP(B134,[2]Hoja1!A:E,2,FALSE)</f>
        <v>excluded</v>
      </c>
      <c r="M134" t="str">
        <f>VLOOKUP(B134,[2]Hoja1!A:E,3,FALSE)</f>
        <v>area_of_research</v>
      </c>
    </row>
    <row r="135" spans="1:13" x14ac:dyDescent="0.3">
      <c r="A135" s="1">
        <v>139</v>
      </c>
      <c r="B135" t="s">
        <v>741</v>
      </c>
      <c r="C135" t="s">
        <v>742</v>
      </c>
      <c r="D135">
        <v>2019</v>
      </c>
      <c r="E135" t="s">
        <v>170</v>
      </c>
      <c r="F135" t="s">
        <v>743</v>
      </c>
      <c r="G135" t="s">
        <v>744</v>
      </c>
      <c r="H135" t="s">
        <v>745</v>
      </c>
      <c r="I135" t="s">
        <v>746</v>
      </c>
      <c r="J135" t="s">
        <v>17</v>
      </c>
      <c r="K135" t="s">
        <v>18</v>
      </c>
      <c r="L135" t="str">
        <f>VLOOKUP(B135,[2]Hoja1!A:E,2,FALSE)</f>
        <v>excluded</v>
      </c>
      <c r="M135" t="str">
        <f>VLOOKUP(B135,[2]Hoja1!A:E,3,FALSE)</f>
        <v>text_or_data_mining</v>
      </c>
    </row>
    <row r="136" spans="1:13" x14ac:dyDescent="0.3">
      <c r="A136" s="1">
        <v>140</v>
      </c>
      <c r="B136" t="s">
        <v>747</v>
      </c>
      <c r="C136" t="s">
        <v>748</v>
      </c>
      <c r="D136">
        <v>2016</v>
      </c>
      <c r="E136" t="s">
        <v>170</v>
      </c>
      <c r="F136" t="s">
        <v>749</v>
      </c>
      <c r="G136" t="s">
        <v>750</v>
      </c>
      <c r="H136" t="s">
        <v>751</v>
      </c>
      <c r="J136" t="s">
        <v>17</v>
      </c>
      <c r="K136" t="s">
        <v>18</v>
      </c>
      <c r="L136" t="str">
        <f>VLOOKUP(B136,[2]Hoja1!A:E,2,FALSE)</f>
        <v>included</v>
      </c>
    </row>
    <row r="137" spans="1:13" x14ac:dyDescent="0.3">
      <c r="A137" s="1">
        <v>142</v>
      </c>
      <c r="B137" t="s">
        <v>752</v>
      </c>
      <c r="C137" t="s">
        <v>753</v>
      </c>
      <c r="D137">
        <v>2015</v>
      </c>
      <c r="E137" t="s">
        <v>170</v>
      </c>
      <c r="F137" t="s">
        <v>754</v>
      </c>
      <c r="G137" t="s">
        <v>755</v>
      </c>
      <c r="I137" t="s">
        <v>756</v>
      </c>
      <c r="J137" t="s">
        <v>17</v>
      </c>
      <c r="K137" t="s">
        <v>18</v>
      </c>
      <c r="L137" t="str">
        <f>VLOOKUP(B137,[2]Hoja1!A:E,2,FALSE)</f>
        <v>excluded</v>
      </c>
      <c r="M137" t="str">
        <f>VLOOKUP(B137,[2]Hoja1!A:E,3,FALSE)</f>
        <v>area_of_research</v>
      </c>
    </row>
    <row r="138" spans="1:13" x14ac:dyDescent="0.3">
      <c r="A138" s="1">
        <v>143</v>
      </c>
      <c r="B138" t="s">
        <v>757</v>
      </c>
      <c r="C138" t="s">
        <v>758</v>
      </c>
      <c r="D138">
        <v>2025</v>
      </c>
      <c r="E138" t="s">
        <v>170</v>
      </c>
      <c r="F138" t="s">
        <v>759</v>
      </c>
      <c r="G138" t="s">
        <v>760</v>
      </c>
      <c r="H138" t="s">
        <v>761</v>
      </c>
      <c r="I138" t="s">
        <v>762</v>
      </c>
      <c r="J138" t="s">
        <v>17</v>
      </c>
      <c r="K138" t="s">
        <v>257</v>
      </c>
      <c r="L138" t="str">
        <f>VLOOKUP(B138,[2]Hoja1!A:E,2,FALSE)</f>
        <v>included</v>
      </c>
    </row>
    <row r="139" spans="1:13" x14ac:dyDescent="0.3">
      <c r="A139" s="1">
        <v>144</v>
      </c>
      <c r="B139" t="s">
        <v>763</v>
      </c>
      <c r="C139" t="s">
        <v>764</v>
      </c>
      <c r="D139">
        <v>2024</v>
      </c>
      <c r="E139" t="s">
        <v>170</v>
      </c>
      <c r="F139" t="s">
        <v>765</v>
      </c>
      <c r="G139" t="s">
        <v>766</v>
      </c>
      <c r="H139" t="s">
        <v>767</v>
      </c>
      <c r="I139" t="s">
        <v>768</v>
      </c>
      <c r="J139" t="s">
        <v>17</v>
      </c>
      <c r="K139" t="s">
        <v>18</v>
      </c>
      <c r="L139" t="str">
        <f>VLOOKUP(B139,[2]Hoja1!A:E,2,FALSE)</f>
        <v>included</v>
      </c>
    </row>
    <row r="140" spans="1:13" x14ac:dyDescent="0.3">
      <c r="A140" s="1">
        <v>145</v>
      </c>
      <c r="B140" t="s">
        <v>769</v>
      </c>
      <c r="C140" t="s">
        <v>770</v>
      </c>
      <c r="D140">
        <v>2021</v>
      </c>
      <c r="E140" t="s">
        <v>170</v>
      </c>
      <c r="F140" t="s">
        <v>771</v>
      </c>
      <c r="G140" t="s">
        <v>772</v>
      </c>
      <c r="H140" t="s">
        <v>773</v>
      </c>
      <c r="I140" t="s">
        <v>774</v>
      </c>
      <c r="J140" t="s">
        <v>17</v>
      </c>
      <c r="K140" t="s">
        <v>18</v>
      </c>
      <c r="L140" t="str">
        <f>VLOOKUP(B140,[2]Hoja1!A:E,2,FALSE)</f>
        <v>included</v>
      </c>
    </row>
  </sheetData>
  <autoFilter ref="A1:M14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A464E-8BD3-4030-993E-307055A361F6}">
  <sheetPr filterMode="1"/>
  <dimension ref="A1:M67"/>
  <sheetViews>
    <sheetView workbookViewId="0">
      <selection activeCell="A38" sqref="A38:XFD38"/>
    </sheetView>
  </sheetViews>
  <sheetFormatPr baseColWidth="10" defaultRowHeight="14.4" x14ac:dyDescent="0.3"/>
  <cols>
    <col min="2" max="2" width="45.109375" customWidth="1"/>
  </cols>
  <sheetData>
    <row r="1" spans="1:13" x14ac:dyDescent="0.3">
      <c r="A1" t="s">
        <v>777</v>
      </c>
      <c r="B1" t="s">
        <v>0</v>
      </c>
      <c r="C1" t="s">
        <v>1</v>
      </c>
      <c r="D1" t="s">
        <v>2</v>
      </c>
      <c r="E1" t="s">
        <v>3</v>
      </c>
      <c r="F1" t="s">
        <v>4</v>
      </c>
      <c r="G1" t="s">
        <v>5</v>
      </c>
      <c r="H1" t="s">
        <v>6</v>
      </c>
      <c r="I1" t="s">
        <v>7</v>
      </c>
      <c r="J1" t="s">
        <v>8</v>
      </c>
      <c r="K1" t="s">
        <v>9</v>
      </c>
      <c r="L1" t="s">
        <v>775</v>
      </c>
      <c r="M1" t="s">
        <v>776</v>
      </c>
    </row>
    <row r="2" spans="1:13" hidden="1" x14ac:dyDescent="0.3">
      <c r="A2">
        <v>1</v>
      </c>
      <c r="B2" t="s">
        <v>19</v>
      </c>
      <c r="C2" t="s">
        <v>20</v>
      </c>
      <c r="D2">
        <v>2023</v>
      </c>
      <c r="E2" t="s">
        <v>21</v>
      </c>
      <c r="F2" t="s">
        <v>22</v>
      </c>
      <c r="G2" t="s">
        <v>23</v>
      </c>
      <c r="H2" t="s">
        <v>24</v>
      </c>
      <c r="I2" t="s">
        <v>25</v>
      </c>
      <c r="J2" t="s">
        <v>17</v>
      </c>
      <c r="K2" t="s">
        <v>18</v>
      </c>
      <c r="L2" t="str">
        <f>VLOOKUP(B2,[1]Hoja1!A:F,5,FALSE)</f>
        <v>excluded</v>
      </c>
      <c r="M2" t="str">
        <f>VLOOKUP(B2,[1]Hoja1!A:F,6,FALSE)</f>
        <v>out_of_scope</v>
      </c>
    </row>
    <row r="3" spans="1:13" hidden="1" x14ac:dyDescent="0.3">
      <c r="A3">
        <v>2</v>
      </c>
      <c r="B3" t="s">
        <v>26</v>
      </c>
      <c r="C3" t="s">
        <v>27</v>
      </c>
      <c r="D3">
        <v>2022</v>
      </c>
      <c r="E3" t="s">
        <v>28</v>
      </c>
      <c r="F3" t="s">
        <v>29</v>
      </c>
      <c r="G3" t="s">
        <v>30</v>
      </c>
      <c r="H3" t="s">
        <v>31</v>
      </c>
      <c r="I3" t="s">
        <v>32</v>
      </c>
      <c r="J3" t="s">
        <v>17</v>
      </c>
      <c r="K3" t="s">
        <v>18</v>
      </c>
      <c r="L3" t="str">
        <f>VLOOKUP(B3,[1]Hoja1!A:F,5,FALSE)</f>
        <v>excluded</v>
      </c>
      <c r="M3" t="str">
        <f>VLOOKUP(B3,[1]Hoja1!A:F,6,FALSE)</f>
        <v>out_of_scope</v>
      </c>
    </row>
    <row r="4" spans="1:13" hidden="1" x14ac:dyDescent="0.3">
      <c r="A4">
        <v>5</v>
      </c>
      <c r="B4" t="s">
        <v>46</v>
      </c>
      <c r="C4" t="s">
        <v>47</v>
      </c>
      <c r="D4">
        <v>2017</v>
      </c>
      <c r="E4" t="s">
        <v>48</v>
      </c>
      <c r="F4" t="s">
        <v>49</v>
      </c>
      <c r="G4" t="s">
        <v>50</v>
      </c>
      <c r="H4" t="s">
        <v>51</v>
      </c>
      <c r="I4" t="s">
        <v>52</v>
      </c>
      <c r="J4" t="s">
        <v>17</v>
      </c>
      <c r="K4" t="s">
        <v>18</v>
      </c>
      <c r="L4" t="s">
        <v>778</v>
      </c>
      <c r="M4" t="str">
        <f>VLOOKUP(B4,[1]Hoja1!A:F,6,FALSE)</f>
        <v>out_of_scope</v>
      </c>
    </row>
    <row r="5" spans="1:13" hidden="1" x14ac:dyDescent="0.3">
      <c r="A5">
        <v>12</v>
      </c>
      <c r="B5" t="s">
        <v>87</v>
      </c>
      <c r="C5" t="s">
        <v>88</v>
      </c>
      <c r="D5">
        <v>2021</v>
      </c>
      <c r="E5" t="s">
        <v>89</v>
      </c>
      <c r="F5" t="s">
        <v>90</v>
      </c>
      <c r="G5" t="s">
        <v>91</v>
      </c>
      <c r="H5" t="s">
        <v>92</v>
      </c>
      <c r="I5" t="s">
        <v>93</v>
      </c>
      <c r="J5" t="s">
        <v>17</v>
      </c>
      <c r="K5" t="s">
        <v>18</v>
      </c>
      <c r="L5" t="str">
        <f>VLOOKUP(B5,[1]Hoja1!A:F,5,FALSE)</f>
        <v>included</v>
      </c>
    </row>
    <row r="6" spans="1:13" x14ac:dyDescent="0.3">
      <c r="A6">
        <v>13</v>
      </c>
      <c r="B6" t="s">
        <v>94</v>
      </c>
      <c r="C6" t="s">
        <v>95</v>
      </c>
      <c r="D6">
        <v>2020</v>
      </c>
      <c r="E6" t="s">
        <v>96</v>
      </c>
      <c r="F6" t="s">
        <v>97</v>
      </c>
      <c r="G6" t="s">
        <v>98</v>
      </c>
      <c r="H6" t="s">
        <v>99</v>
      </c>
      <c r="I6" t="s">
        <v>100</v>
      </c>
      <c r="J6" t="s">
        <v>17</v>
      </c>
      <c r="K6" t="s">
        <v>18</v>
      </c>
      <c r="L6" t="str">
        <f>VLOOKUP(B6,[1]Hoja1!A:F,5,FALSE)</f>
        <v>excluded</v>
      </c>
      <c r="M6" t="str">
        <f>VLOOKUP(B6,[1]Hoja1!A:F,6,FALSE)</f>
        <v>not_case_study</v>
      </c>
    </row>
    <row r="7" spans="1:13" hidden="1" x14ac:dyDescent="0.3">
      <c r="A7">
        <v>15</v>
      </c>
      <c r="B7" t="s">
        <v>108</v>
      </c>
      <c r="C7" t="s">
        <v>109</v>
      </c>
      <c r="D7">
        <v>2026</v>
      </c>
      <c r="E7" t="s">
        <v>110</v>
      </c>
      <c r="F7" t="s">
        <v>111</v>
      </c>
      <c r="G7" t="s">
        <v>112</v>
      </c>
      <c r="H7" t="s">
        <v>113</v>
      </c>
      <c r="J7" t="s">
        <v>17</v>
      </c>
      <c r="K7" t="s">
        <v>18</v>
      </c>
      <c r="L7" t="s">
        <v>778</v>
      </c>
      <c r="M7" t="s">
        <v>780</v>
      </c>
    </row>
    <row r="8" spans="1:13" hidden="1" x14ac:dyDescent="0.3">
      <c r="A8">
        <v>20</v>
      </c>
      <c r="B8" t="s">
        <v>140</v>
      </c>
      <c r="C8" t="s">
        <v>141</v>
      </c>
      <c r="D8">
        <v>2025</v>
      </c>
      <c r="E8" t="s">
        <v>142</v>
      </c>
      <c r="F8" t="s">
        <v>143</v>
      </c>
      <c r="G8" t="s">
        <v>144</v>
      </c>
      <c r="H8" t="s">
        <v>145</v>
      </c>
      <c r="I8" t="s">
        <v>146</v>
      </c>
      <c r="J8" t="s">
        <v>17</v>
      </c>
      <c r="K8" t="s">
        <v>18</v>
      </c>
      <c r="L8" t="str">
        <f>VLOOKUP(B8,[1]Hoja1!A:F,5,FALSE)</f>
        <v>included</v>
      </c>
    </row>
    <row r="9" spans="1:13" hidden="1" x14ac:dyDescent="0.3">
      <c r="A9">
        <v>22</v>
      </c>
      <c r="B9" t="s">
        <v>154</v>
      </c>
      <c r="C9" t="s">
        <v>155</v>
      </c>
      <c r="D9">
        <v>2025</v>
      </c>
      <c r="E9" t="s">
        <v>156</v>
      </c>
      <c r="F9" t="s">
        <v>157</v>
      </c>
      <c r="G9" t="s">
        <v>158</v>
      </c>
      <c r="H9" t="s">
        <v>159</v>
      </c>
      <c r="I9" t="s">
        <v>160</v>
      </c>
      <c r="J9" t="s">
        <v>17</v>
      </c>
      <c r="K9" t="s">
        <v>18</v>
      </c>
      <c r="L9" t="str">
        <f>VLOOKUP(B9,[1]Hoja1!A:F,5,FALSE)</f>
        <v>excluded</v>
      </c>
      <c r="M9" t="str">
        <f>VLOOKUP(B9,[1]Hoja1!A:F,6,FALSE)</f>
        <v>out_of_scope</v>
      </c>
    </row>
    <row r="10" spans="1:13" hidden="1" x14ac:dyDescent="0.3">
      <c r="A10">
        <v>25</v>
      </c>
      <c r="B10" t="s">
        <v>168</v>
      </c>
      <c r="C10" t="s">
        <v>169</v>
      </c>
      <c r="D10">
        <v>2026</v>
      </c>
      <c r="E10" t="s">
        <v>170</v>
      </c>
      <c r="F10" t="s">
        <v>171</v>
      </c>
      <c r="G10" t="s">
        <v>172</v>
      </c>
      <c r="H10" t="s">
        <v>173</v>
      </c>
      <c r="J10" t="s">
        <v>17</v>
      </c>
      <c r="K10" t="s">
        <v>18</v>
      </c>
      <c r="L10" t="str">
        <f>VLOOKUP(B10,[2]Hoja1!A:E,4,FALSE)</f>
        <v>excluded</v>
      </c>
      <c r="M10" t="str">
        <f>VLOOKUP(B10,[2]Hoja1!A:E,5,FALSE)</f>
        <v>out_of_scope</v>
      </c>
    </row>
    <row r="11" spans="1:13" hidden="1" x14ac:dyDescent="0.3">
      <c r="A11">
        <v>26</v>
      </c>
      <c r="B11" t="s">
        <v>174</v>
      </c>
      <c r="C11" t="s">
        <v>175</v>
      </c>
      <c r="D11">
        <v>2018</v>
      </c>
      <c r="E11" t="s">
        <v>170</v>
      </c>
      <c r="F11" t="s">
        <v>176</v>
      </c>
      <c r="G11" t="s">
        <v>177</v>
      </c>
      <c r="H11" t="s">
        <v>178</v>
      </c>
      <c r="I11" t="s">
        <v>179</v>
      </c>
      <c r="J11" t="s">
        <v>17</v>
      </c>
      <c r="K11" t="s">
        <v>18</v>
      </c>
      <c r="L11" t="str">
        <f>VLOOKUP(B11,[2]Hoja1!A:E,4,FALSE)</f>
        <v>excluded</v>
      </c>
      <c r="M11" t="str">
        <f>VLOOKUP(B11,[2]Hoja1!A:E,5,FALSE)</f>
        <v>out_of_scope</v>
      </c>
    </row>
    <row r="12" spans="1:13" hidden="1" x14ac:dyDescent="0.3">
      <c r="A12">
        <v>27</v>
      </c>
      <c r="B12" t="s">
        <v>180</v>
      </c>
      <c r="C12" t="s">
        <v>181</v>
      </c>
      <c r="D12">
        <v>2025</v>
      </c>
      <c r="E12" t="s">
        <v>170</v>
      </c>
      <c r="F12" t="s">
        <v>182</v>
      </c>
      <c r="G12" t="s">
        <v>183</v>
      </c>
      <c r="H12" t="s">
        <v>184</v>
      </c>
      <c r="J12" t="s">
        <v>17</v>
      </c>
      <c r="K12" t="s">
        <v>18</v>
      </c>
      <c r="L12" t="str">
        <f>VLOOKUP(B12,[2]Hoja1!A:E,4,FALSE)</f>
        <v>excluded</v>
      </c>
      <c r="M12" t="str">
        <f>VLOOKUP(B12,[2]Hoja1!A:E,5,FALSE)</f>
        <v>out_of_scope</v>
      </c>
    </row>
    <row r="13" spans="1:13" hidden="1" x14ac:dyDescent="0.3">
      <c r="A13">
        <v>29</v>
      </c>
      <c r="B13" t="s">
        <v>191</v>
      </c>
      <c r="C13" t="s">
        <v>192</v>
      </c>
      <c r="D13">
        <v>2023</v>
      </c>
      <c r="E13" t="s">
        <v>170</v>
      </c>
      <c r="F13" t="s">
        <v>193</v>
      </c>
      <c r="G13" t="s">
        <v>194</v>
      </c>
      <c r="H13" t="s">
        <v>195</v>
      </c>
      <c r="I13" t="s">
        <v>196</v>
      </c>
      <c r="J13" t="s">
        <v>17</v>
      </c>
      <c r="K13" t="s">
        <v>18</v>
      </c>
      <c r="L13" t="str">
        <f>VLOOKUP(B13,[2]Hoja1!A:E,4,FALSE)</f>
        <v>excluded</v>
      </c>
      <c r="M13" t="str">
        <f>VLOOKUP(B13,[2]Hoja1!A:E,5,FALSE)</f>
        <v>out_of_scope</v>
      </c>
    </row>
    <row r="14" spans="1:13" hidden="1" x14ac:dyDescent="0.3">
      <c r="A14">
        <v>30</v>
      </c>
      <c r="B14" t="s">
        <v>197</v>
      </c>
      <c r="C14" t="s">
        <v>198</v>
      </c>
      <c r="D14">
        <v>2021</v>
      </c>
      <c r="E14" t="s">
        <v>170</v>
      </c>
      <c r="F14" t="s">
        <v>199</v>
      </c>
      <c r="G14" t="s">
        <v>200</v>
      </c>
      <c r="H14" t="s">
        <v>201</v>
      </c>
      <c r="I14" t="s">
        <v>202</v>
      </c>
      <c r="J14" t="s">
        <v>17</v>
      </c>
      <c r="K14" t="s">
        <v>18</v>
      </c>
      <c r="L14" t="str">
        <f>VLOOKUP(B14,[2]Hoja1!A:E,4,FALSE)</f>
        <v>included</v>
      </c>
    </row>
    <row r="15" spans="1:13" x14ac:dyDescent="0.3">
      <c r="A15">
        <v>33</v>
      </c>
      <c r="B15" t="s">
        <v>214</v>
      </c>
      <c r="C15" t="s">
        <v>215</v>
      </c>
      <c r="D15">
        <v>2025</v>
      </c>
      <c r="E15" t="s">
        <v>170</v>
      </c>
      <c r="F15" t="s">
        <v>216</v>
      </c>
      <c r="H15" t="s">
        <v>217</v>
      </c>
      <c r="J15" t="s">
        <v>17</v>
      </c>
      <c r="K15" t="s">
        <v>18</v>
      </c>
      <c r="L15" t="str">
        <f>VLOOKUP(B15,[2]Hoja1!A:E,4,FALSE)</f>
        <v>excluded</v>
      </c>
      <c r="M15" t="str">
        <f>VLOOKUP(B15,[2]Hoja1!A:E,5,FALSE)</f>
        <v>not_case_study</v>
      </c>
    </row>
    <row r="16" spans="1:13" x14ac:dyDescent="0.3">
      <c r="A16">
        <v>35</v>
      </c>
      <c r="B16" t="s">
        <v>223</v>
      </c>
      <c r="C16" t="s">
        <v>224</v>
      </c>
      <c r="D16">
        <v>2020</v>
      </c>
      <c r="E16" t="s">
        <v>170</v>
      </c>
      <c r="F16" t="s">
        <v>225</v>
      </c>
      <c r="G16" t="s">
        <v>226</v>
      </c>
      <c r="H16" t="s">
        <v>227</v>
      </c>
      <c r="I16" t="s">
        <v>228</v>
      </c>
      <c r="J16" t="s">
        <v>17</v>
      </c>
      <c r="K16" t="s">
        <v>18</v>
      </c>
      <c r="L16" t="str">
        <f>VLOOKUP(B16,[2]Hoja1!A:E,4,FALSE)</f>
        <v>excluded</v>
      </c>
      <c r="M16" t="str">
        <f>VLOOKUP(B16,[2]Hoja1!A:E,5,FALSE)</f>
        <v>not_case_study</v>
      </c>
    </row>
    <row r="17" spans="1:13" hidden="1" x14ac:dyDescent="0.3">
      <c r="A17">
        <v>38</v>
      </c>
      <c r="B17" t="s">
        <v>241</v>
      </c>
      <c r="C17" t="s">
        <v>242</v>
      </c>
      <c r="D17">
        <v>2025</v>
      </c>
      <c r="E17" t="s">
        <v>170</v>
      </c>
      <c r="F17" t="s">
        <v>243</v>
      </c>
      <c r="G17" t="s">
        <v>244</v>
      </c>
      <c r="H17" t="s">
        <v>245</v>
      </c>
      <c r="I17" t="s">
        <v>246</v>
      </c>
      <c r="J17" t="s">
        <v>17</v>
      </c>
      <c r="K17" t="s">
        <v>18</v>
      </c>
      <c r="L17" t="str">
        <f>VLOOKUP(B17,[2]Hoja1!A:E,4,FALSE)</f>
        <v>excluded</v>
      </c>
      <c r="M17" t="str">
        <f>VLOOKUP(B17,[2]Hoja1!A:E,5,FALSE)</f>
        <v>out_of_scope</v>
      </c>
    </row>
    <row r="18" spans="1:13" x14ac:dyDescent="0.3">
      <c r="A18">
        <v>39</v>
      </c>
      <c r="B18" t="s">
        <v>247</v>
      </c>
      <c r="C18" t="s">
        <v>248</v>
      </c>
      <c r="D18">
        <v>2014</v>
      </c>
      <c r="E18" t="s">
        <v>170</v>
      </c>
      <c r="F18" t="s">
        <v>249</v>
      </c>
      <c r="G18" t="s">
        <v>250</v>
      </c>
      <c r="H18" t="s">
        <v>251</v>
      </c>
      <c r="J18" t="s">
        <v>17</v>
      </c>
      <c r="K18" t="s">
        <v>18</v>
      </c>
      <c r="L18" t="str">
        <f>VLOOKUP(B18,[2]Hoja1!A:E,4,FALSE)</f>
        <v>excluded</v>
      </c>
      <c r="M18" t="str">
        <f>VLOOKUP(B18,[2]Hoja1!A:E,5,FALSE)</f>
        <v>not_case_study</v>
      </c>
    </row>
    <row r="19" spans="1:13" hidden="1" x14ac:dyDescent="0.3">
      <c r="A19">
        <v>40</v>
      </c>
      <c r="B19" t="s">
        <v>252</v>
      </c>
      <c r="C19" t="s">
        <v>253</v>
      </c>
      <c r="D19">
        <v>2025</v>
      </c>
      <c r="E19" t="s">
        <v>170</v>
      </c>
      <c r="F19" t="s">
        <v>254</v>
      </c>
      <c r="G19" t="s">
        <v>255</v>
      </c>
      <c r="I19" t="s">
        <v>256</v>
      </c>
      <c r="J19" t="s">
        <v>17</v>
      </c>
      <c r="K19" t="s">
        <v>257</v>
      </c>
      <c r="L19" t="str">
        <f>VLOOKUP(B19,[2]Hoja1!A:E,4,FALSE)</f>
        <v>included</v>
      </c>
    </row>
    <row r="20" spans="1:13" hidden="1" x14ac:dyDescent="0.3">
      <c r="A20">
        <v>41</v>
      </c>
      <c r="B20" t="s">
        <v>258</v>
      </c>
      <c r="C20" t="s">
        <v>259</v>
      </c>
      <c r="D20">
        <v>2024</v>
      </c>
      <c r="E20" t="s">
        <v>170</v>
      </c>
      <c r="F20" t="s">
        <v>260</v>
      </c>
      <c r="G20" t="s">
        <v>261</v>
      </c>
      <c r="H20" t="s">
        <v>262</v>
      </c>
      <c r="I20" t="s">
        <v>263</v>
      </c>
      <c r="J20" t="s">
        <v>17</v>
      </c>
      <c r="K20" t="s">
        <v>18</v>
      </c>
      <c r="L20" t="str">
        <f>VLOOKUP(B20,[2]Hoja1!A:E,4,FALSE)</f>
        <v>excluded</v>
      </c>
      <c r="M20" t="str">
        <f>VLOOKUP(B20,[2]Hoja1!A:E,5,FALSE)</f>
        <v>out_of_scope</v>
      </c>
    </row>
    <row r="21" spans="1:13" hidden="1" x14ac:dyDescent="0.3">
      <c r="A21">
        <v>44</v>
      </c>
      <c r="B21" t="s">
        <v>275</v>
      </c>
      <c r="C21" t="s">
        <v>276</v>
      </c>
      <c r="D21">
        <v>2025</v>
      </c>
      <c r="E21" t="s">
        <v>170</v>
      </c>
      <c r="F21" t="s">
        <v>277</v>
      </c>
      <c r="G21" t="s">
        <v>278</v>
      </c>
      <c r="H21" t="s">
        <v>279</v>
      </c>
      <c r="I21" t="s">
        <v>280</v>
      </c>
      <c r="J21" t="s">
        <v>17</v>
      </c>
      <c r="K21" t="s">
        <v>18</v>
      </c>
      <c r="L21" t="str">
        <f>VLOOKUP(B21,[2]Hoja1!A:E,4,FALSE)</f>
        <v>included</v>
      </c>
    </row>
    <row r="22" spans="1:13" hidden="1" x14ac:dyDescent="0.3">
      <c r="A22">
        <v>46</v>
      </c>
      <c r="B22" t="s">
        <v>285</v>
      </c>
      <c r="C22" t="s">
        <v>286</v>
      </c>
      <c r="D22">
        <v>2021</v>
      </c>
      <c r="E22" t="s">
        <v>170</v>
      </c>
      <c r="F22" t="s">
        <v>287</v>
      </c>
      <c r="G22" t="s">
        <v>288</v>
      </c>
      <c r="H22" t="s">
        <v>289</v>
      </c>
      <c r="I22" t="s">
        <v>290</v>
      </c>
      <c r="J22" t="s">
        <v>17</v>
      </c>
      <c r="K22" t="s">
        <v>18</v>
      </c>
      <c r="L22" t="str">
        <f>VLOOKUP(B22,[2]Hoja1!A:E,4,FALSE)</f>
        <v>excluded</v>
      </c>
      <c r="M22" t="str">
        <f>VLOOKUP(B22,[2]Hoja1!A:E,5,FALSE)</f>
        <v>out_of_scope</v>
      </c>
    </row>
    <row r="23" spans="1:13" hidden="1" x14ac:dyDescent="0.3">
      <c r="A23">
        <v>52</v>
      </c>
      <c r="B23" t="s">
        <v>318</v>
      </c>
      <c r="C23" t="s">
        <v>319</v>
      </c>
      <c r="D23">
        <v>2022</v>
      </c>
      <c r="E23" t="s">
        <v>170</v>
      </c>
      <c r="F23" t="s">
        <v>320</v>
      </c>
      <c r="G23" t="s">
        <v>321</v>
      </c>
      <c r="H23" t="s">
        <v>322</v>
      </c>
      <c r="I23" t="s">
        <v>323</v>
      </c>
      <c r="J23" t="s">
        <v>17</v>
      </c>
      <c r="K23" t="s">
        <v>18</v>
      </c>
      <c r="L23" t="str">
        <f>VLOOKUP(B23,[2]Hoja1!A:E,4,FALSE)</f>
        <v>excluded</v>
      </c>
      <c r="M23" t="str">
        <f>VLOOKUP(B23,[2]Hoja1!A:E,5,FALSE)</f>
        <v>out_of_scope</v>
      </c>
    </row>
    <row r="24" spans="1:13" hidden="1" x14ac:dyDescent="0.3">
      <c r="A24">
        <v>56</v>
      </c>
      <c r="B24" t="s">
        <v>341</v>
      </c>
      <c r="C24" t="s">
        <v>342</v>
      </c>
      <c r="D24">
        <v>2023</v>
      </c>
      <c r="E24" t="s">
        <v>170</v>
      </c>
      <c r="F24" t="s">
        <v>343</v>
      </c>
      <c r="G24" t="s">
        <v>344</v>
      </c>
      <c r="I24" t="s">
        <v>345</v>
      </c>
      <c r="J24" t="s">
        <v>17</v>
      </c>
      <c r="K24" t="s">
        <v>18</v>
      </c>
      <c r="L24" t="str">
        <f>VLOOKUP(B24,[2]Hoja1!A:E,4,FALSE)</f>
        <v>excluded</v>
      </c>
      <c r="M24" t="str">
        <f>VLOOKUP(B24,[2]Hoja1!A:E,5,FALSE)</f>
        <v>out_of_scope</v>
      </c>
    </row>
    <row r="25" spans="1:13" hidden="1" x14ac:dyDescent="0.3">
      <c r="A25">
        <v>57</v>
      </c>
      <c r="B25" t="s">
        <v>346</v>
      </c>
      <c r="C25" t="s">
        <v>347</v>
      </c>
      <c r="D25">
        <v>2006</v>
      </c>
      <c r="E25" t="s">
        <v>170</v>
      </c>
      <c r="F25" t="s">
        <v>348</v>
      </c>
      <c r="G25" t="s">
        <v>349</v>
      </c>
      <c r="H25" t="s">
        <v>350</v>
      </c>
      <c r="I25" t="s">
        <v>351</v>
      </c>
      <c r="J25" t="s">
        <v>17</v>
      </c>
      <c r="K25" t="s">
        <v>18</v>
      </c>
      <c r="L25" t="str">
        <f>VLOOKUP(B25,[2]Hoja1!A:E,4,FALSE)</f>
        <v>excluded</v>
      </c>
      <c r="M25" t="str">
        <f>VLOOKUP(B25,[2]Hoja1!A:E,5,FALSE)</f>
        <v>out_of_scope</v>
      </c>
    </row>
    <row r="26" spans="1:13" hidden="1" x14ac:dyDescent="0.3">
      <c r="A26">
        <v>59</v>
      </c>
      <c r="B26" t="s">
        <v>355</v>
      </c>
      <c r="C26" t="s">
        <v>356</v>
      </c>
      <c r="D26">
        <v>2025</v>
      </c>
      <c r="E26" t="s">
        <v>170</v>
      </c>
      <c r="F26" t="s">
        <v>357</v>
      </c>
      <c r="G26" t="s">
        <v>358</v>
      </c>
      <c r="J26" t="s">
        <v>17</v>
      </c>
      <c r="K26" t="s">
        <v>234</v>
      </c>
      <c r="L26" t="str">
        <f>VLOOKUP(B26,[2]Hoja1!A:E,4,FALSE)</f>
        <v>excluded</v>
      </c>
      <c r="M26" t="str">
        <f>VLOOKUP(B26,[2]Hoja1!A:E,5,FALSE)</f>
        <v>out_of_scope</v>
      </c>
    </row>
    <row r="27" spans="1:13" hidden="1" x14ac:dyDescent="0.3">
      <c r="A27">
        <v>60</v>
      </c>
      <c r="B27" t="s">
        <v>359</v>
      </c>
      <c r="C27" t="s">
        <v>360</v>
      </c>
      <c r="D27">
        <v>2026</v>
      </c>
      <c r="E27" t="s">
        <v>170</v>
      </c>
      <c r="F27" t="s">
        <v>361</v>
      </c>
      <c r="G27" t="s">
        <v>362</v>
      </c>
      <c r="H27" t="s">
        <v>363</v>
      </c>
      <c r="J27" t="s">
        <v>17</v>
      </c>
      <c r="K27" t="s">
        <v>18</v>
      </c>
      <c r="L27" t="str">
        <f>VLOOKUP(B27,[2]Hoja1!A:E,4,FALSE)</f>
        <v>excluded</v>
      </c>
      <c r="M27" t="str">
        <f>VLOOKUP(B27,[2]Hoja1!A:E,5,FALSE)</f>
        <v>out_of_scope</v>
      </c>
    </row>
    <row r="28" spans="1:13" hidden="1" x14ac:dyDescent="0.3">
      <c r="A28">
        <v>61</v>
      </c>
      <c r="B28" t="s">
        <v>364</v>
      </c>
      <c r="C28" t="s">
        <v>365</v>
      </c>
      <c r="D28">
        <v>2016</v>
      </c>
      <c r="E28" t="s">
        <v>170</v>
      </c>
      <c r="F28" t="s">
        <v>366</v>
      </c>
      <c r="G28" t="s">
        <v>367</v>
      </c>
      <c r="H28" t="s">
        <v>368</v>
      </c>
      <c r="I28" t="s">
        <v>369</v>
      </c>
      <c r="J28" t="s">
        <v>17</v>
      </c>
      <c r="K28" t="s">
        <v>18</v>
      </c>
      <c r="L28" t="str">
        <f>VLOOKUP(B28,[2]Hoja1!A:E,4,FALSE)</f>
        <v>excluded</v>
      </c>
      <c r="M28" t="str">
        <f>VLOOKUP(B28,[2]Hoja1!A:E,5,FALSE)</f>
        <v>out_of_scope</v>
      </c>
    </row>
    <row r="29" spans="1:13" hidden="1" x14ac:dyDescent="0.3">
      <c r="A29">
        <v>63</v>
      </c>
      <c r="B29" t="s">
        <v>376</v>
      </c>
      <c r="C29" t="s">
        <v>377</v>
      </c>
      <c r="D29">
        <v>2026</v>
      </c>
      <c r="E29" t="s">
        <v>170</v>
      </c>
      <c r="F29" t="s">
        <v>378</v>
      </c>
      <c r="G29" t="s">
        <v>379</v>
      </c>
      <c r="H29" t="s">
        <v>380</v>
      </c>
      <c r="I29" t="s">
        <v>381</v>
      </c>
      <c r="J29" t="s">
        <v>17</v>
      </c>
      <c r="K29" t="s">
        <v>18</v>
      </c>
      <c r="L29" t="str">
        <f>VLOOKUP(B29,[2]Hoja1!A:E,4,FALSE)</f>
        <v>excluded</v>
      </c>
      <c r="M29" t="str">
        <f>VLOOKUP(B29,[2]Hoja1!A:E,5,FALSE)</f>
        <v>out_of_scope</v>
      </c>
    </row>
    <row r="30" spans="1:13" hidden="1" x14ac:dyDescent="0.3">
      <c r="A30">
        <v>65</v>
      </c>
      <c r="B30" t="s">
        <v>384</v>
      </c>
      <c r="C30" t="s">
        <v>385</v>
      </c>
      <c r="D30">
        <v>2026</v>
      </c>
      <c r="E30" t="s">
        <v>170</v>
      </c>
      <c r="F30" t="s">
        <v>386</v>
      </c>
      <c r="G30" t="s">
        <v>387</v>
      </c>
      <c r="H30" t="s">
        <v>388</v>
      </c>
      <c r="J30" t="s">
        <v>17</v>
      </c>
      <c r="K30" t="s">
        <v>18</v>
      </c>
      <c r="L30" t="str">
        <f>VLOOKUP(B30,[2]Hoja1!A:E,4,FALSE)</f>
        <v>excluded</v>
      </c>
      <c r="M30" t="str">
        <f>VLOOKUP(B30,[2]Hoja1!A:E,5,FALSE)</f>
        <v>out_of_scope</v>
      </c>
    </row>
    <row r="31" spans="1:13" hidden="1" x14ac:dyDescent="0.3">
      <c r="A31">
        <v>66</v>
      </c>
      <c r="B31" t="s">
        <v>389</v>
      </c>
      <c r="C31" t="s">
        <v>390</v>
      </c>
      <c r="D31">
        <v>2026</v>
      </c>
      <c r="E31" t="s">
        <v>170</v>
      </c>
      <c r="F31" t="s">
        <v>391</v>
      </c>
      <c r="G31" t="s">
        <v>392</v>
      </c>
      <c r="H31" t="s">
        <v>393</v>
      </c>
      <c r="I31" t="s">
        <v>394</v>
      </c>
      <c r="J31" t="s">
        <v>17</v>
      </c>
      <c r="K31" t="s">
        <v>18</v>
      </c>
      <c r="L31" t="str">
        <f>VLOOKUP(B31,[2]Hoja1!A:E,4,FALSE)</f>
        <v>excluded</v>
      </c>
      <c r="M31" t="str">
        <f>VLOOKUP(B31,[2]Hoja1!A:E,5,FALSE)</f>
        <v>out_of_scope</v>
      </c>
    </row>
    <row r="32" spans="1:13" hidden="1" x14ac:dyDescent="0.3">
      <c r="A32">
        <v>68</v>
      </c>
      <c r="B32" t="s">
        <v>400</v>
      </c>
      <c r="C32" t="s">
        <v>401</v>
      </c>
      <c r="D32">
        <v>2023</v>
      </c>
      <c r="E32" t="s">
        <v>170</v>
      </c>
      <c r="F32" t="s">
        <v>402</v>
      </c>
      <c r="G32" t="s">
        <v>403</v>
      </c>
      <c r="H32" t="s">
        <v>404</v>
      </c>
      <c r="I32" t="s">
        <v>405</v>
      </c>
      <c r="J32" t="s">
        <v>17</v>
      </c>
      <c r="K32" t="s">
        <v>18</v>
      </c>
      <c r="L32" t="str">
        <f>VLOOKUP(B32,[2]Hoja1!A:E,4,FALSE)</f>
        <v>excluded</v>
      </c>
      <c r="M32" t="str">
        <f>VLOOKUP(B32,[2]Hoja1!A:E,5,FALSE)</f>
        <v>out_of_scope</v>
      </c>
    </row>
    <row r="33" spans="1:13" hidden="1" x14ac:dyDescent="0.3">
      <c r="A33">
        <v>69</v>
      </c>
      <c r="B33" t="s">
        <v>406</v>
      </c>
      <c r="C33" t="s">
        <v>407</v>
      </c>
      <c r="D33">
        <v>2021</v>
      </c>
      <c r="E33" t="s">
        <v>170</v>
      </c>
      <c r="F33" t="s">
        <v>408</v>
      </c>
      <c r="G33" t="s">
        <v>409</v>
      </c>
      <c r="H33" t="s">
        <v>410</v>
      </c>
      <c r="I33" t="s">
        <v>411</v>
      </c>
      <c r="J33" t="s">
        <v>17</v>
      </c>
      <c r="K33" t="s">
        <v>18</v>
      </c>
      <c r="L33" t="str">
        <f>VLOOKUP(B33,[2]Hoja1!A:E,4,FALSE)</f>
        <v>excluded</v>
      </c>
      <c r="M33" t="str">
        <f>VLOOKUP(B33,[2]Hoja1!A:E,5,FALSE)</f>
        <v>out_of_scope</v>
      </c>
    </row>
    <row r="34" spans="1:13" x14ac:dyDescent="0.3">
      <c r="A34">
        <v>71</v>
      </c>
      <c r="B34" t="s">
        <v>412</v>
      </c>
      <c r="C34" t="s">
        <v>413</v>
      </c>
      <c r="D34">
        <v>2022</v>
      </c>
      <c r="E34" t="s">
        <v>170</v>
      </c>
      <c r="F34" t="s">
        <v>414</v>
      </c>
      <c r="G34" t="s">
        <v>415</v>
      </c>
      <c r="H34" t="s">
        <v>416</v>
      </c>
      <c r="J34" t="s">
        <v>17</v>
      </c>
      <c r="K34" t="s">
        <v>257</v>
      </c>
      <c r="L34" t="str">
        <f>VLOOKUP(B34,[2]Hoja1!A:E,4,FALSE)</f>
        <v>excluded</v>
      </c>
      <c r="M34" t="str">
        <f>VLOOKUP(B34,[2]Hoja1!A:E,5,FALSE)</f>
        <v>not_case_study</v>
      </c>
    </row>
    <row r="35" spans="1:13" hidden="1" x14ac:dyDescent="0.3">
      <c r="A35">
        <v>72</v>
      </c>
      <c r="B35" t="s">
        <v>417</v>
      </c>
      <c r="C35" t="s">
        <v>418</v>
      </c>
      <c r="D35">
        <v>2025</v>
      </c>
      <c r="E35" t="s">
        <v>170</v>
      </c>
      <c r="F35" t="s">
        <v>419</v>
      </c>
      <c r="G35" t="s">
        <v>420</v>
      </c>
      <c r="H35" t="s">
        <v>421</v>
      </c>
      <c r="J35" t="s">
        <v>17</v>
      </c>
      <c r="K35" t="s">
        <v>18</v>
      </c>
      <c r="L35" t="str">
        <f>VLOOKUP(B35,[2]Hoja1!A:E,4,FALSE)</f>
        <v>included</v>
      </c>
    </row>
    <row r="36" spans="1:13" hidden="1" x14ac:dyDescent="0.3">
      <c r="A36">
        <v>73</v>
      </c>
      <c r="B36" t="s">
        <v>422</v>
      </c>
      <c r="C36" t="s">
        <v>423</v>
      </c>
      <c r="D36">
        <v>2019</v>
      </c>
      <c r="E36" t="s">
        <v>170</v>
      </c>
      <c r="F36" t="s">
        <v>424</v>
      </c>
      <c r="G36" t="s">
        <v>425</v>
      </c>
      <c r="H36" t="s">
        <v>426</v>
      </c>
      <c r="I36" t="s">
        <v>427</v>
      </c>
      <c r="J36" t="s">
        <v>17</v>
      </c>
      <c r="K36" t="s">
        <v>18</v>
      </c>
      <c r="L36" t="str">
        <f>VLOOKUP(B36,[2]Hoja1!A:E,4,FALSE)</f>
        <v>excluded</v>
      </c>
      <c r="M36" t="str">
        <f>VLOOKUP(B36,[2]Hoja1!A:E,5,FALSE)</f>
        <v>out_of_scope</v>
      </c>
    </row>
    <row r="37" spans="1:13" hidden="1" x14ac:dyDescent="0.3">
      <c r="A37">
        <v>74</v>
      </c>
      <c r="B37" t="s">
        <v>428</v>
      </c>
      <c r="C37" t="s">
        <v>429</v>
      </c>
      <c r="D37">
        <v>2025</v>
      </c>
      <c r="E37" t="s">
        <v>170</v>
      </c>
      <c r="F37" t="s">
        <v>430</v>
      </c>
      <c r="G37" t="s">
        <v>431</v>
      </c>
      <c r="J37" t="s">
        <v>17</v>
      </c>
      <c r="K37" t="s">
        <v>234</v>
      </c>
      <c r="L37" t="s">
        <v>778</v>
      </c>
      <c r="M37" t="str">
        <f>VLOOKUP(B37,[2]Hoja1!A:E,5,FALSE)</f>
        <v>out_of_scope</v>
      </c>
    </row>
    <row r="38" spans="1:13" x14ac:dyDescent="0.3">
      <c r="A38">
        <v>75</v>
      </c>
      <c r="B38" t="s">
        <v>432</v>
      </c>
      <c r="C38" t="s">
        <v>433</v>
      </c>
      <c r="D38">
        <v>2025</v>
      </c>
      <c r="E38" t="s">
        <v>170</v>
      </c>
      <c r="F38" t="s">
        <v>434</v>
      </c>
      <c r="G38" t="s">
        <v>435</v>
      </c>
      <c r="H38" t="s">
        <v>436</v>
      </c>
      <c r="J38" t="s">
        <v>17</v>
      </c>
      <c r="K38" t="s">
        <v>437</v>
      </c>
      <c r="L38" t="s">
        <v>778</v>
      </c>
      <c r="M38" t="s">
        <v>919</v>
      </c>
    </row>
    <row r="39" spans="1:13" hidden="1" x14ac:dyDescent="0.3">
      <c r="A39">
        <v>79</v>
      </c>
      <c r="B39" t="s">
        <v>449</v>
      </c>
      <c r="C39" t="s">
        <v>450</v>
      </c>
      <c r="D39">
        <v>2023</v>
      </c>
      <c r="E39" t="s">
        <v>170</v>
      </c>
      <c r="F39" t="s">
        <v>451</v>
      </c>
      <c r="G39" t="s">
        <v>452</v>
      </c>
      <c r="H39" t="s">
        <v>453</v>
      </c>
      <c r="I39" t="s">
        <v>454</v>
      </c>
      <c r="J39" t="s">
        <v>17</v>
      </c>
      <c r="K39" t="s">
        <v>18</v>
      </c>
      <c r="L39" t="str">
        <f>VLOOKUP(B39,[2]Hoja1!A:E,4,FALSE)</f>
        <v>excluded</v>
      </c>
      <c r="M39" t="str">
        <f>VLOOKUP(B39,[2]Hoja1!A:E,5,FALSE)</f>
        <v>out_of_scope</v>
      </c>
    </row>
    <row r="40" spans="1:13" hidden="1" x14ac:dyDescent="0.3">
      <c r="A40">
        <v>81</v>
      </c>
      <c r="B40" t="s">
        <v>455</v>
      </c>
      <c r="C40" t="s">
        <v>456</v>
      </c>
      <c r="D40">
        <v>2023</v>
      </c>
      <c r="E40" t="s">
        <v>170</v>
      </c>
      <c r="F40" t="s">
        <v>457</v>
      </c>
      <c r="G40" t="s">
        <v>458</v>
      </c>
      <c r="H40" t="s">
        <v>459</v>
      </c>
      <c r="I40" t="s">
        <v>460</v>
      </c>
      <c r="J40" t="s">
        <v>17</v>
      </c>
      <c r="K40" t="s">
        <v>437</v>
      </c>
      <c r="L40" t="str">
        <f>VLOOKUP(B40,[2]Hoja1!A:E,4,FALSE)</f>
        <v>excluded</v>
      </c>
      <c r="M40" t="str">
        <f>VLOOKUP(B40,[2]Hoja1!A:E,5,FALSE)</f>
        <v>out_of_scope</v>
      </c>
    </row>
    <row r="41" spans="1:13" hidden="1" x14ac:dyDescent="0.3">
      <c r="A41">
        <v>82</v>
      </c>
      <c r="B41" t="s">
        <v>461</v>
      </c>
      <c r="C41" t="s">
        <v>462</v>
      </c>
      <c r="D41">
        <v>2023</v>
      </c>
      <c r="E41" t="s">
        <v>170</v>
      </c>
      <c r="F41" t="s">
        <v>463</v>
      </c>
      <c r="G41" t="s">
        <v>464</v>
      </c>
      <c r="H41" t="s">
        <v>465</v>
      </c>
      <c r="J41" t="s">
        <v>17</v>
      </c>
      <c r="K41" t="s">
        <v>257</v>
      </c>
      <c r="L41" t="str">
        <f>VLOOKUP(B41,[2]Hoja1!A:E,4,FALSE)</f>
        <v>excluded</v>
      </c>
      <c r="M41" t="str">
        <f>VLOOKUP(B41,[2]Hoja1!A:E,5,FALSE)</f>
        <v>out_of_scope</v>
      </c>
    </row>
    <row r="42" spans="1:13" hidden="1" x14ac:dyDescent="0.3">
      <c r="A42">
        <v>88</v>
      </c>
      <c r="B42" t="s">
        <v>488</v>
      </c>
      <c r="C42" t="s">
        <v>489</v>
      </c>
      <c r="D42">
        <v>2025</v>
      </c>
      <c r="E42" t="s">
        <v>170</v>
      </c>
      <c r="F42" t="s">
        <v>490</v>
      </c>
      <c r="G42" t="s">
        <v>491</v>
      </c>
      <c r="H42" t="s">
        <v>492</v>
      </c>
      <c r="I42" t="s">
        <v>493</v>
      </c>
      <c r="J42" t="s">
        <v>17</v>
      </c>
      <c r="K42" t="s">
        <v>18</v>
      </c>
      <c r="L42" t="str">
        <f>VLOOKUP(B42,[2]Hoja1!A:E,4,FALSE)</f>
        <v>included</v>
      </c>
    </row>
    <row r="43" spans="1:13" hidden="1" x14ac:dyDescent="0.3">
      <c r="A43">
        <v>90</v>
      </c>
      <c r="B43" t="s">
        <v>500</v>
      </c>
      <c r="C43" t="s">
        <v>501</v>
      </c>
      <c r="D43">
        <v>2025</v>
      </c>
      <c r="E43" t="s">
        <v>170</v>
      </c>
      <c r="F43" t="s">
        <v>502</v>
      </c>
      <c r="G43" t="s">
        <v>503</v>
      </c>
      <c r="H43" t="s">
        <v>504</v>
      </c>
      <c r="I43" t="s">
        <v>505</v>
      </c>
      <c r="J43" t="s">
        <v>17</v>
      </c>
      <c r="K43" t="s">
        <v>18</v>
      </c>
      <c r="L43" t="str">
        <f>VLOOKUP(B43,[2]Hoja1!A:E,4,FALSE)</f>
        <v>excluded</v>
      </c>
      <c r="M43" t="str">
        <f>VLOOKUP(B43,[2]Hoja1!A:E,5,FALSE)</f>
        <v>out_of_scope</v>
      </c>
    </row>
    <row r="44" spans="1:13" hidden="1" x14ac:dyDescent="0.3">
      <c r="A44">
        <v>91</v>
      </c>
      <c r="B44" t="s">
        <v>506</v>
      </c>
      <c r="C44" t="s">
        <v>507</v>
      </c>
      <c r="D44">
        <v>2023</v>
      </c>
      <c r="E44" t="s">
        <v>170</v>
      </c>
      <c r="F44" t="s">
        <v>508</v>
      </c>
      <c r="H44" t="s">
        <v>509</v>
      </c>
      <c r="I44" t="s">
        <v>510</v>
      </c>
      <c r="J44" t="s">
        <v>17</v>
      </c>
      <c r="K44" t="s">
        <v>234</v>
      </c>
      <c r="L44" t="str">
        <f>VLOOKUP(B44,[2]Hoja1!A:E,4,FALSE)</f>
        <v>excluded</v>
      </c>
      <c r="M44" t="str">
        <f>VLOOKUP(B44,[2]Hoja1!A:E,5,FALSE)</f>
        <v>out_of_scope</v>
      </c>
    </row>
    <row r="45" spans="1:13" hidden="1" x14ac:dyDescent="0.3">
      <c r="A45">
        <v>92</v>
      </c>
      <c r="B45" t="s">
        <v>511</v>
      </c>
      <c r="C45" t="s">
        <v>512</v>
      </c>
      <c r="D45">
        <v>2018</v>
      </c>
      <c r="E45" t="s">
        <v>170</v>
      </c>
      <c r="F45" t="s">
        <v>513</v>
      </c>
      <c r="G45" t="s">
        <v>514</v>
      </c>
      <c r="H45" t="s">
        <v>515</v>
      </c>
      <c r="J45" t="s">
        <v>17</v>
      </c>
      <c r="K45" t="s">
        <v>257</v>
      </c>
      <c r="L45" t="str">
        <f>VLOOKUP(B45,[2]Hoja1!A:E,4,FALSE)</f>
        <v>excluded</v>
      </c>
      <c r="M45" t="str">
        <f>VLOOKUP(B45,[2]Hoja1!A:E,5,FALSE)</f>
        <v>out_of_scope</v>
      </c>
    </row>
    <row r="46" spans="1:13" x14ac:dyDescent="0.3">
      <c r="A46">
        <v>94</v>
      </c>
      <c r="B46" t="s">
        <v>522</v>
      </c>
      <c r="C46" t="s">
        <v>523</v>
      </c>
      <c r="D46">
        <v>2015</v>
      </c>
      <c r="E46" t="s">
        <v>170</v>
      </c>
      <c r="F46" t="s">
        <v>524</v>
      </c>
      <c r="I46" t="s">
        <v>525</v>
      </c>
      <c r="J46" t="s">
        <v>17</v>
      </c>
      <c r="K46" t="s">
        <v>437</v>
      </c>
      <c r="L46" t="str">
        <f>VLOOKUP(B46,[2]Hoja1!A:E,4,FALSE)</f>
        <v>excluded</v>
      </c>
      <c r="M46" t="str">
        <f>VLOOKUP(B46,[2]Hoja1!A:E,5,FALSE)</f>
        <v>not_case_study</v>
      </c>
    </row>
    <row r="47" spans="1:13" hidden="1" x14ac:dyDescent="0.3">
      <c r="A47">
        <v>96</v>
      </c>
      <c r="B47" t="s">
        <v>527</v>
      </c>
      <c r="C47" t="s">
        <v>528</v>
      </c>
      <c r="D47">
        <v>2022</v>
      </c>
      <c r="E47" t="s">
        <v>170</v>
      </c>
      <c r="F47" t="s">
        <v>529</v>
      </c>
      <c r="H47" t="s">
        <v>530</v>
      </c>
      <c r="I47" t="s">
        <v>531</v>
      </c>
      <c r="J47" t="s">
        <v>17</v>
      </c>
      <c r="K47" t="s">
        <v>234</v>
      </c>
      <c r="L47" t="str">
        <f>VLOOKUP(B47,[2]Hoja1!A:E,4,FALSE)</f>
        <v>excluded</v>
      </c>
      <c r="M47" t="str">
        <f>VLOOKUP(B47,[2]Hoja1!A:E,5,FALSE)</f>
        <v>out_of_scope</v>
      </c>
    </row>
    <row r="48" spans="1:13" hidden="1" x14ac:dyDescent="0.3">
      <c r="A48">
        <v>97</v>
      </c>
      <c r="B48" t="s">
        <v>532</v>
      </c>
      <c r="C48" t="s">
        <v>533</v>
      </c>
      <c r="D48">
        <v>2016</v>
      </c>
      <c r="E48" t="s">
        <v>170</v>
      </c>
      <c r="F48" t="s">
        <v>534</v>
      </c>
      <c r="G48" t="s">
        <v>535</v>
      </c>
      <c r="H48" t="s">
        <v>536</v>
      </c>
      <c r="I48" t="s">
        <v>537</v>
      </c>
      <c r="J48" t="s">
        <v>17</v>
      </c>
      <c r="K48" t="s">
        <v>18</v>
      </c>
      <c r="L48" t="str">
        <f>VLOOKUP(B48,[2]Hoja1!A:E,4,FALSE)</f>
        <v>excluded</v>
      </c>
      <c r="M48" t="str">
        <f>VLOOKUP(B48,[2]Hoja1!A:E,5,FALSE)</f>
        <v>out_of_scope</v>
      </c>
    </row>
    <row r="49" spans="1:13" hidden="1" x14ac:dyDescent="0.3">
      <c r="A49">
        <v>99</v>
      </c>
      <c r="B49" t="s">
        <v>544</v>
      </c>
      <c r="C49" t="s">
        <v>545</v>
      </c>
      <c r="D49">
        <v>2006</v>
      </c>
      <c r="E49" t="s">
        <v>170</v>
      </c>
      <c r="F49" t="s">
        <v>546</v>
      </c>
      <c r="I49" t="s">
        <v>547</v>
      </c>
      <c r="J49" t="s">
        <v>17</v>
      </c>
      <c r="K49" t="s">
        <v>234</v>
      </c>
      <c r="L49" t="str">
        <f>VLOOKUP(B49,[2]Hoja1!A:E,4,FALSE)</f>
        <v>excluded</v>
      </c>
      <c r="M49" t="str">
        <f>VLOOKUP(B49,[2]Hoja1!A:E,5,FALSE)</f>
        <v>out_of_scope</v>
      </c>
    </row>
    <row r="50" spans="1:13" hidden="1" x14ac:dyDescent="0.3">
      <c r="A50">
        <v>108</v>
      </c>
      <c r="B50" t="s">
        <v>587</v>
      </c>
      <c r="C50" t="s">
        <v>588</v>
      </c>
      <c r="D50">
        <v>2025</v>
      </c>
      <c r="E50" t="s">
        <v>170</v>
      </c>
      <c r="F50" t="s">
        <v>589</v>
      </c>
      <c r="G50" t="s">
        <v>590</v>
      </c>
      <c r="H50" t="s">
        <v>591</v>
      </c>
      <c r="I50" t="s">
        <v>592</v>
      </c>
      <c r="J50" t="s">
        <v>17</v>
      </c>
      <c r="K50" t="s">
        <v>18</v>
      </c>
      <c r="L50" t="str">
        <f>VLOOKUP(B50,[2]Hoja1!A:E,4,FALSE)</f>
        <v>excluded</v>
      </c>
      <c r="M50" t="str">
        <f>VLOOKUP(B50,[2]Hoja1!A:E,5,FALSE)</f>
        <v>out_of_scope</v>
      </c>
    </row>
    <row r="51" spans="1:13" hidden="1" x14ac:dyDescent="0.3">
      <c r="A51">
        <v>109</v>
      </c>
      <c r="B51" t="s">
        <v>593</v>
      </c>
      <c r="C51" t="s">
        <v>594</v>
      </c>
      <c r="D51">
        <v>2014</v>
      </c>
      <c r="E51" t="s">
        <v>170</v>
      </c>
      <c r="F51" t="s">
        <v>595</v>
      </c>
      <c r="G51" t="s">
        <v>596</v>
      </c>
      <c r="H51" t="s">
        <v>597</v>
      </c>
      <c r="I51" t="s">
        <v>598</v>
      </c>
      <c r="J51" t="s">
        <v>17</v>
      </c>
      <c r="K51" t="s">
        <v>18</v>
      </c>
      <c r="L51" t="str">
        <f>VLOOKUP(B51,[2]Hoja1!A:E,4,FALSE)</f>
        <v>excluded</v>
      </c>
      <c r="M51" t="str">
        <f>VLOOKUP(B51,[2]Hoja1!A:E,5,FALSE)</f>
        <v>out_of_scope</v>
      </c>
    </row>
    <row r="52" spans="1:13" hidden="1" x14ac:dyDescent="0.3">
      <c r="A52">
        <v>110</v>
      </c>
      <c r="B52" t="s">
        <v>599</v>
      </c>
      <c r="C52" t="s">
        <v>600</v>
      </c>
      <c r="D52">
        <v>2021</v>
      </c>
      <c r="E52" t="s">
        <v>170</v>
      </c>
      <c r="F52" t="s">
        <v>601</v>
      </c>
      <c r="G52" t="s">
        <v>602</v>
      </c>
      <c r="H52" t="s">
        <v>603</v>
      </c>
      <c r="I52" t="s">
        <v>604</v>
      </c>
      <c r="J52" t="s">
        <v>17</v>
      </c>
      <c r="K52" t="s">
        <v>18</v>
      </c>
      <c r="L52" t="str">
        <f>VLOOKUP(B52,[2]Hoja1!A:E,4,FALSE)</f>
        <v>excluded</v>
      </c>
      <c r="M52" t="str">
        <f>VLOOKUP(B52,[2]Hoja1!A:E,5,FALSE)</f>
        <v>out_of_scope</v>
      </c>
    </row>
    <row r="53" spans="1:13" hidden="1" x14ac:dyDescent="0.3">
      <c r="A53">
        <v>111</v>
      </c>
      <c r="B53" t="s">
        <v>605</v>
      </c>
      <c r="C53" t="s">
        <v>606</v>
      </c>
      <c r="D53">
        <v>2025</v>
      </c>
      <c r="E53" t="s">
        <v>170</v>
      </c>
      <c r="F53" t="s">
        <v>607</v>
      </c>
      <c r="G53" t="s">
        <v>608</v>
      </c>
      <c r="H53" t="s">
        <v>609</v>
      </c>
      <c r="I53" t="s">
        <v>610</v>
      </c>
      <c r="J53" t="s">
        <v>17</v>
      </c>
      <c r="K53" t="s">
        <v>18</v>
      </c>
      <c r="L53" t="str">
        <f>VLOOKUP(B53,[2]Hoja1!A:E,4,FALSE)</f>
        <v>included</v>
      </c>
    </row>
    <row r="54" spans="1:13" hidden="1" x14ac:dyDescent="0.3">
      <c r="A54">
        <v>112</v>
      </c>
      <c r="B54" t="s">
        <v>611</v>
      </c>
      <c r="C54" t="s">
        <v>612</v>
      </c>
      <c r="D54">
        <v>2014</v>
      </c>
      <c r="E54" t="s">
        <v>170</v>
      </c>
      <c r="F54" t="s">
        <v>613</v>
      </c>
      <c r="G54" t="s">
        <v>614</v>
      </c>
      <c r="H54" t="s">
        <v>615</v>
      </c>
      <c r="I54" t="s">
        <v>616</v>
      </c>
      <c r="J54" t="s">
        <v>17</v>
      </c>
      <c r="K54" t="s">
        <v>18</v>
      </c>
      <c r="L54" t="str">
        <f>VLOOKUP(B54,[2]Hoja1!A:E,4,FALSE)</f>
        <v>excluded</v>
      </c>
      <c r="M54" t="str">
        <f>VLOOKUP(B54,[2]Hoja1!A:E,5,FALSE)</f>
        <v>out_of_scope</v>
      </c>
    </row>
    <row r="55" spans="1:13" hidden="1" x14ac:dyDescent="0.3">
      <c r="A55">
        <v>118</v>
      </c>
      <c r="B55" t="s">
        <v>641</v>
      </c>
      <c r="C55" t="s">
        <v>642</v>
      </c>
      <c r="D55">
        <v>2011</v>
      </c>
      <c r="E55" t="s">
        <v>170</v>
      </c>
      <c r="F55" t="s">
        <v>643</v>
      </c>
      <c r="H55" t="s">
        <v>644</v>
      </c>
      <c r="I55" t="s">
        <v>645</v>
      </c>
      <c r="J55" t="s">
        <v>17</v>
      </c>
      <c r="K55" t="s">
        <v>234</v>
      </c>
      <c r="L55" t="str">
        <f>VLOOKUP(B55,[2]Hoja1!A:E,4,FALSE)</f>
        <v>excluded</v>
      </c>
      <c r="M55" t="str">
        <f>VLOOKUP(B55,[2]Hoja1!A:E,5,FALSE)</f>
        <v>out_of_scope</v>
      </c>
    </row>
    <row r="56" spans="1:13" hidden="1" x14ac:dyDescent="0.3">
      <c r="A56">
        <v>119</v>
      </c>
      <c r="B56" t="s">
        <v>646</v>
      </c>
      <c r="C56" t="s">
        <v>647</v>
      </c>
      <c r="D56">
        <v>2023</v>
      </c>
      <c r="E56" t="s">
        <v>170</v>
      </c>
      <c r="F56" t="s">
        <v>648</v>
      </c>
      <c r="G56" t="s">
        <v>649</v>
      </c>
      <c r="J56" t="s">
        <v>17</v>
      </c>
      <c r="K56" t="s">
        <v>257</v>
      </c>
      <c r="L56" t="str">
        <f>VLOOKUP(B56,[2]Hoja1!A:E,4,FALSE)</f>
        <v>excluded</v>
      </c>
      <c r="M56" t="str">
        <f>VLOOKUP(B56,[2]Hoja1!A:E,5,FALSE)</f>
        <v>out_of_scope</v>
      </c>
    </row>
    <row r="57" spans="1:13" hidden="1" x14ac:dyDescent="0.3">
      <c r="A57">
        <v>122</v>
      </c>
      <c r="B57" t="s">
        <v>660</v>
      </c>
      <c r="C57" t="s">
        <v>661</v>
      </c>
      <c r="D57">
        <v>2025</v>
      </c>
      <c r="E57" t="s">
        <v>170</v>
      </c>
      <c r="F57" t="s">
        <v>662</v>
      </c>
      <c r="G57" t="s">
        <v>663</v>
      </c>
      <c r="H57" t="s">
        <v>664</v>
      </c>
      <c r="J57" t="s">
        <v>17</v>
      </c>
      <c r="K57" t="s">
        <v>18</v>
      </c>
      <c r="L57" t="str">
        <f>VLOOKUP(B57,[2]Hoja1!A:E,4,FALSE)</f>
        <v>included</v>
      </c>
    </row>
    <row r="58" spans="1:13" hidden="1" x14ac:dyDescent="0.3">
      <c r="A58">
        <v>126</v>
      </c>
      <c r="B58" t="s">
        <v>678</v>
      </c>
      <c r="C58" t="s">
        <v>679</v>
      </c>
      <c r="D58">
        <v>2008</v>
      </c>
      <c r="E58" t="s">
        <v>170</v>
      </c>
      <c r="F58" t="s">
        <v>680</v>
      </c>
      <c r="G58" t="s">
        <v>681</v>
      </c>
      <c r="H58" t="s">
        <v>682</v>
      </c>
      <c r="I58" t="s">
        <v>683</v>
      </c>
      <c r="J58" t="s">
        <v>17</v>
      </c>
      <c r="K58" t="s">
        <v>18</v>
      </c>
      <c r="L58" t="str">
        <f>VLOOKUP(B58,[2]Hoja1!A:E,4,FALSE)</f>
        <v>excluded</v>
      </c>
      <c r="M58" t="str">
        <f>VLOOKUP(B58,[2]Hoja1!A:E,5,FALSE)</f>
        <v>out_of_scope</v>
      </c>
    </row>
    <row r="59" spans="1:13" hidden="1" x14ac:dyDescent="0.3">
      <c r="A59">
        <v>129</v>
      </c>
      <c r="B59" t="s">
        <v>695</v>
      </c>
      <c r="C59" t="s">
        <v>696</v>
      </c>
      <c r="D59">
        <v>2025</v>
      </c>
      <c r="E59" t="s">
        <v>170</v>
      </c>
      <c r="F59" t="s">
        <v>697</v>
      </c>
      <c r="G59" t="s">
        <v>698</v>
      </c>
      <c r="H59" t="s">
        <v>699</v>
      </c>
      <c r="I59" t="s">
        <v>700</v>
      </c>
      <c r="J59" t="s">
        <v>17</v>
      </c>
      <c r="K59" t="s">
        <v>18</v>
      </c>
      <c r="L59" t="str">
        <f>VLOOKUP(B59,[2]Hoja1!A:E,4,FALSE)</f>
        <v>excluded</v>
      </c>
      <c r="M59" t="str">
        <f>VLOOKUP(B59,[2]Hoja1!A:E,5,FALSE)</f>
        <v>out_of_scope</v>
      </c>
    </row>
    <row r="60" spans="1:13" hidden="1" x14ac:dyDescent="0.3">
      <c r="A60">
        <v>131</v>
      </c>
      <c r="B60" t="s">
        <v>706</v>
      </c>
      <c r="C60" t="s">
        <v>707</v>
      </c>
      <c r="D60">
        <v>2023</v>
      </c>
      <c r="E60" t="s">
        <v>170</v>
      </c>
      <c r="F60" t="s">
        <v>708</v>
      </c>
      <c r="G60" t="s">
        <v>709</v>
      </c>
      <c r="H60" t="s">
        <v>710</v>
      </c>
      <c r="J60" t="s">
        <v>17</v>
      </c>
      <c r="K60" t="s">
        <v>18</v>
      </c>
      <c r="L60" t="str">
        <f>VLOOKUP(B60,[2]Hoja1!A:E,4,FALSE)</f>
        <v>included</v>
      </c>
    </row>
    <row r="61" spans="1:13" hidden="1" x14ac:dyDescent="0.3">
      <c r="A61">
        <v>133</v>
      </c>
      <c r="B61" t="s">
        <v>713</v>
      </c>
      <c r="C61" t="s">
        <v>612</v>
      </c>
      <c r="D61">
        <v>2021</v>
      </c>
      <c r="E61" t="s">
        <v>170</v>
      </c>
      <c r="F61" t="s">
        <v>714</v>
      </c>
      <c r="G61" t="s">
        <v>715</v>
      </c>
      <c r="H61" t="s">
        <v>716</v>
      </c>
      <c r="I61" t="s">
        <v>717</v>
      </c>
      <c r="J61" t="s">
        <v>17</v>
      </c>
      <c r="K61" t="s">
        <v>18</v>
      </c>
      <c r="L61" t="str">
        <f>VLOOKUP(B61,[2]Hoja1!A:E,4,FALSE)</f>
        <v>included</v>
      </c>
    </row>
    <row r="62" spans="1:13" hidden="1" x14ac:dyDescent="0.3">
      <c r="A62">
        <v>135</v>
      </c>
      <c r="B62" t="s">
        <v>718</v>
      </c>
      <c r="C62" t="s">
        <v>719</v>
      </c>
      <c r="D62">
        <v>2024</v>
      </c>
      <c r="E62" t="s">
        <v>170</v>
      </c>
      <c r="F62" t="s">
        <v>720</v>
      </c>
      <c r="G62" t="s">
        <v>721</v>
      </c>
      <c r="H62" t="s">
        <v>722</v>
      </c>
      <c r="I62" t="s">
        <v>723</v>
      </c>
      <c r="J62" t="s">
        <v>17</v>
      </c>
      <c r="K62" t="s">
        <v>18</v>
      </c>
      <c r="L62" t="str">
        <f>VLOOKUP(B62,[2]Hoja1!A:E,4,FALSE)</f>
        <v>excluded</v>
      </c>
      <c r="M62" t="str">
        <f>VLOOKUP(B62,[2]Hoja1!A:E,5,FALSE)</f>
        <v>out_of_scope</v>
      </c>
    </row>
    <row r="63" spans="1:13" x14ac:dyDescent="0.3">
      <c r="A63">
        <v>137</v>
      </c>
      <c r="B63" t="s">
        <v>729</v>
      </c>
      <c r="C63" t="s">
        <v>730</v>
      </c>
      <c r="D63">
        <v>2021</v>
      </c>
      <c r="E63" t="s">
        <v>170</v>
      </c>
      <c r="F63" t="s">
        <v>731</v>
      </c>
      <c r="G63" t="s">
        <v>732</v>
      </c>
      <c r="H63" t="s">
        <v>733</v>
      </c>
      <c r="I63" t="s">
        <v>734</v>
      </c>
      <c r="J63" t="s">
        <v>17</v>
      </c>
      <c r="K63" t="s">
        <v>18</v>
      </c>
      <c r="L63" t="str">
        <f>VLOOKUP(B63,[2]Hoja1!A:E,4,FALSE)</f>
        <v>excluded</v>
      </c>
      <c r="M63" t="str">
        <f>VLOOKUP(B63,[2]Hoja1!A:E,5,FALSE)</f>
        <v>not_case_study</v>
      </c>
    </row>
    <row r="64" spans="1:13" x14ac:dyDescent="0.3">
      <c r="A64">
        <v>140</v>
      </c>
      <c r="B64" t="s">
        <v>747</v>
      </c>
      <c r="C64" t="s">
        <v>748</v>
      </c>
      <c r="D64">
        <v>2016</v>
      </c>
      <c r="E64" t="s">
        <v>170</v>
      </c>
      <c r="F64" t="s">
        <v>749</v>
      </c>
      <c r="G64" t="s">
        <v>750</v>
      </c>
      <c r="H64" t="s">
        <v>751</v>
      </c>
      <c r="J64" t="s">
        <v>17</v>
      </c>
      <c r="K64" t="s">
        <v>18</v>
      </c>
      <c r="L64" t="str">
        <f>VLOOKUP(B64,[2]Hoja1!A:E,4,FALSE)</f>
        <v>excluded</v>
      </c>
      <c r="M64" t="str">
        <f>VLOOKUP(B64,[2]Hoja1!A:E,5,FALSE)</f>
        <v>not_case_study</v>
      </c>
    </row>
    <row r="65" spans="1:13" hidden="1" x14ac:dyDescent="0.3">
      <c r="A65">
        <v>143</v>
      </c>
      <c r="B65" t="s">
        <v>757</v>
      </c>
      <c r="C65" t="s">
        <v>758</v>
      </c>
      <c r="D65">
        <v>2025</v>
      </c>
      <c r="E65" t="s">
        <v>170</v>
      </c>
      <c r="F65" t="s">
        <v>759</v>
      </c>
      <c r="G65" t="s">
        <v>760</v>
      </c>
      <c r="H65" t="s">
        <v>761</v>
      </c>
      <c r="I65" t="s">
        <v>762</v>
      </c>
      <c r="J65" t="s">
        <v>17</v>
      </c>
      <c r="K65" t="s">
        <v>257</v>
      </c>
      <c r="L65" t="str">
        <f>VLOOKUP(B65,[2]Hoja1!A:E,4,FALSE)</f>
        <v>excluded</v>
      </c>
      <c r="M65" t="str">
        <f>VLOOKUP(B65,[2]Hoja1!A:E,5,FALSE)</f>
        <v>out_of_scope</v>
      </c>
    </row>
    <row r="66" spans="1:13" hidden="1" x14ac:dyDescent="0.3">
      <c r="A66">
        <v>144</v>
      </c>
      <c r="B66" t="s">
        <v>763</v>
      </c>
      <c r="C66" t="s">
        <v>764</v>
      </c>
      <c r="D66">
        <v>2024</v>
      </c>
      <c r="E66" t="s">
        <v>170</v>
      </c>
      <c r="F66" t="s">
        <v>765</v>
      </c>
      <c r="G66" t="s">
        <v>766</v>
      </c>
      <c r="H66" t="s">
        <v>767</v>
      </c>
      <c r="I66" t="s">
        <v>768</v>
      </c>
      <c r="J66" t="s">
        <v>17</v>
      </c>
      <c r="K66" t="s">
        <v>18</v>
      </c>
      <c r="L66" t="str">
        <f>VLOOKUP(B66,[2]Hoja1!A:E,4,FALSE)</f>
        <v>excluded</v>
      </c>
      <c r="M66" t="str">
        <f>VLOOKUP(B66,[2]Hoja1!A:E,5,FALSE)</f>
        <v>out_of_scope</v>
      </c>
    </row>
    <row r="67" spans="1:13" x14ac:dyDescent="0.3">
      <c r="A67">
        <v>145</v>
      </c>
      <c r="B67" t="s">
        <v>769</v>
      </c>
      <c r="C67" t="s">
        <v>770</v>
      </c>
      <c r="D67">
        <v>2021</v>
      </c>
      <c r="E67" t="s">
        <v>170</v>
      </c>
      <c r="F67" t="s">
        <v>771</v>
      </c>
      <c r="G67" t="s">
        <v>772</v>
      </c>
      <c r="H67" t="s">
        <v>773</v>
      </c>
      <c r="I67" t="s">
        <v>774</v>
      </c>
      <c r="J67" t="s">
        <v>17</v>
      </c>
      <c r="K67" t="s">
        <v>18</v>
      </c>
      <c r="L67" t="str">
        <f>VLOOKUP(B67,[2]Hoja1!A:E,4,FALSE)</f>
        <v>excluded</v>
      </c>
      <c r="M67" t="str">
        <f>VLOOKUP(B67,[2]Hoja1!A:E,5,FALSE)</f>
        <v>not_case_study</v>
      </c>
    </row>
  </sheetData>
  <autoFilter ref="A1:M67" xr:uid="{05CA464E-8BD3-4030-993E-307055A361F6}">
    <filterColumn colId="12">
      <filters>
        <filter val="not_case_stud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F889-D7FF-44E7-AA83-BC59A31FB3ED}">
  <dimension ref="A1:J12"/>
  <sheetViews>
    <sheetView workbookViewId="0">
      <selection activeCell="D14" sqref="D14"/>
    </sheetView>
  </sheetViews>
  <sheetFormatPr baseColWidth="10" defaultRowHeight="14.4" x14ac:dyDescent="0.3"/>
  <sheetData>
    <row r="1" spans="1:10" x14ac:dyDescent="0.3">
      <c r="A1" t="s">
        <v>0</v>
      </c>
      <c r="B1" t="s">
        <v>1</v>
      </c>
      <c r="C1" t="s">
        <v>2</v>
      </c>
      <c r="D1" t="s">
        <v>3</v>
      </c>
      <c r="E1" t="s">
        <v>4</v>
      </c>
      <c r="F1" t="s">
        <v>5</v>
      </c>
      <c r="G1" t="s">
        <v>6</v>
      </c>
      <c r="H1" t="s">
        <v>7</v>
      </c>
      <c r="I1" t="s">
        <v>8</v>
      </c>
      <c r="J1" t="s">
        <v>9</v>
      </c>
    </row>
    <row r="2" spans="1:10" x14ac:dyDescent="0.3">
      <c r="A2" t="s">
        <v>87</v>
      </c>
      <c r="B2" t="s">
        <v>88</v>
      </c>
      <c r="C2">
        <v>2021</v>
      </c>
      <c r="D2" t="s">
        <v>89</v>
      </c>
      <c r="E2" t="s">
        <v>90</v>
      </c>
      <c r="F2" t="s">
        <v>91</v>
      </c>
      <c r="G2" t="s">
        <v>92</v>
      </c>
      <c r="H2" t="s">
        <v>93</v>
      </c>
      <c r="I2" t="s">
        <v>17</v>
      </c>
      <c r="J2" t="s">
        <v>18</v>
      </c>
    </row>
    <row r="3" spans="1:10" x14ac:dyDescent="0.3">
      <c r="A3" t="s">
        <v>140</v>
      </c>
      <c r="B3" t="s">
        <v>141</v>
      </c>
      <c r="C3">
        <v>2025</v>
      </c>
      <c r="D3" t="s">
        <v>142</v>
      </c>
      <c r="E3" t="s">
        <v>143</v>
      </c>
      <c r="F3" t="s">
        <v>144</v>
      </c>
      <c r="G3" t="s">
        <v>145</v>
      </c>
      <c r="H3" t="s">
        <v>146</v>
      </c>
      <c r="I3" t="s">
        <v>17</v>
      </c>
      <c r="J3" t="s">
        <v>18</v>
      </c>
    </row>
    <row r="4" spans="1:10" x14ac:dyDescent="0.3">
      <c r="A4" t="s">
        <v>197</v>
      </c>
      <c r="B4" t="s">
        <v>198</v>
      </c>
      <c r="C4">
        <v>2021</v>
      </c>
      <c r="D4" t="s">
        <v>170</v>
      </c>
      <c r="E4" t="s">
        <v>199</v>
      </c>
      <c r="F4" t="s">
        <v>200</v>
      </c>
      <c r="G4" t="s">
        <v>201</v>
      </c>
      <c r="H4" t="s">
        <v>202</v>
      </c>
      <c r="I4" t="s">
        <v>17</v>
      </c>
      <c r="J4" t="s">
        <v>18</v>
      </c>
    </row>
    <row r="5" spans="1:10" x14ac:dyDescent="0.3">
      <c r="A5" t="s">
        <v>252</v>
      </c>
      <c r="B5" t="s">
        <v>253</v>
      </c>
      <c r="C5">
        <v>2025</v>
      </c>
      <c r="D5" t="s">
        <v>170</v>
      </c>
      <c r="E5" t="s">
        <v>254</v>
      </c>
      <c r="F5" t="s">
        <v>255</v>
      </c>
      <c r="H5" t="s">
        <v>256</v>
      </c>
      <c r="I5" t="s">
        <v>17</v>
      </c>
      <c r="J5" t="s">
        <v>257</v>
      </c>
    </row>
    <row r="6" spans="1:10" x14ac:dyDescent="0.3">
      <c r="A6" t="s">
        <v>275</v>
      </c>
      <c r="B6" t="s">
        <v>276</v>
      </c>
      <c r="C6">
        <v>2025</v>
      </c>
      <c r="D6" t="s">
        <v>170</v>
      </c>
      <c r="E6" t="s">
        <v>277</v>
      </c>
      <c r="F6" t="s">
        <v>278</v>
      </c>
      <c r="G6" t="s">
        <v>279</v>
      </c>
      <c r="H6" t="s">
        <v>280</v>
      </c>
      <c r="I6" t="s">
        <v>17</v>
      </c>
      <c r="J6" t="s">
        <v>18</v>
      </c>
    </row>
    <row r="7" spans="1:10" x14ac:dyDescent="0.3">
      <c r="A7" t="s">
        <v>417</v>
      </c>
      <c r="B7" t="s">
        <v>418</v>
      </c>
      <c r="C7">
        <v>2025</v>
      </c>
      <c r="D7" t="s">
        <v>170</v>
      </c>
      <c r="E7" t="s">
        <v>419</v>
      </c>
      <c r="F7" t="s">
        <v>420</v>
      </c>
      <c r="G7" t="s">
        <v>421</v>
      </c>
      <c r="I7" t="s">
        <v>17</v>
      </c>
      <c r="J7" t="s">
        <v>18</v>
      </c>
    </row>
    <row r="8" spans="1:10" x14ac:dyDescent="0.3">
      <c r="A8" t="s">
        <v>488</v>
      </c>
      <c r="B8" t="s">
        <v>489</v>
      </c>
      <c r="C8">
        <v>2025</v>
      </c>
      <c r="D8" t="s">
        <v>170</v>
      </c>
      <c r="E8" t="s">
        <v>490</v>
      </c>
      <c r="F8" t="s">
        <v>491</v>
      </c>
      <c r="G8" t="s">
        <v>492</v>
      </c>
      <c r="H8" t="s">
        <v>493</v>
      </c>
      <c r="I8" t="s">
        <v>17</v>
      </c>
      <c r="J8" t="s">
        <v>18</v>
      </c>
    </row>
    <row r="9" spans="1:10" x14ac:dyDescent="0.3">
      <c r="A9" t="s">
        <v>605</v>
      </c>
      <c r="B9" t="s">
        <v>606</v>
      </c>
      <c r="C9">
        <v>2025</v>
      </c>
      <c r="D9" t="s">
        <v>170</v>
      </c>
      <c r="E9" t="s">
        <v>607</v>
      </c>
      <c r="F9" t="s">
        <v>608</v>
      </c>
      <c r="G9" t="s">
        <v>609</v>
      </c>
      <c r="H9" t="s">
        <v>610</v>
      </c>
      <c r="I9" t="s">
        <v>17</v>
      </c>
      <c r="J9" t="s">
        <v>18</v>
      </c>
    </row>
    <row r="10" spans="1:10" x14ac:dyDescent="0.3">
      <c r="A10" t="s">
        <v>660</v>
      </c>
      <c r="B10" t="s">
        <v>661</v>
      </c>
      <c r="C10">
        <v>2025</v>
      </c>
      <c r="D10" t="s">
        <v>170</v>
      </c>
      <c r="E10" t="s">
        <v>662</v>
      </c>
      <c r="F10" t="s">
        <v>663</v>
      </c>
      <c r="G10" t="s">
        <v>664</v>
      </c>
      <c r="I10" t="s">
        <v>17</v>
      </c>
      <c r="J10" t="s">
        <v>18</v>
      </c>
    </row>
    <row r="11" spans="1:10" x14ac:dyDescent="0.3">
      <c r="A11" t="s">
        <v>706</v>
      </c>
      <c r="B11" t="s">
        <v>707</v>
      </c>
      <c r="C11">
        <v>2023</v>
      </c>
      <c r="D11" t="s">
        <v>170</v>
      </c>
      <c r="E11" t="s">
        <v>708</v>
      </c>
      <c r="F11" t="s">
        <v>709</v>
      </c>
      <c r="G11" t="s">
        <v>710</v>
      </c>
      <c r="I11" t="s">
        <v>17</v>
      </c>
      <c r="J11" t="s">
        <v>18</v>
      </c>
    </row>
    <row r="12" spans="1:10" x14ac:dyDescent="0.3">
      <c r="A12" t="s">
        <v>713</v>
      </c>
      <c r="B12" t="s">
        <v>612</v>
      </c>
      <c r="C12">
        <v>2021</v>
      </c>
      <c r="D12" t="s">
        <v>170</v>
      </c>
      <c r="E12" t="s">
        <v>714</v>
      </c>
      <c r="F12" t="s">
        <v>715</v>
      </c>
      <c r="G12" t="s">
        <v>716</v>
      </c>
      <c r="H12" t="s">
        <v>717</v>
      </c>
      <c r="I12" t="s">
        <v>17</v>
      </c>
      <c r="J12" t="s">
        <v>18</v>
      </c>
    </row>
  </sheetData>
  <autoFilter ref="A1:J12" xr:uid="{121CF889-D7FF-44E7-AA83-BC59A31FB3E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4D3F1-AC14-4FBF-9F06-5A47518AF103}">
  <dimension ref="A1:I29"/>
  <sheetViews>
    <sheetView tabSelected="1" topLeftCell="A6" workbookViewId="0">
      <selection activeCell="J18" sqref="J18"/>
    </sheetView>
  </sheetViews>
  <sheetFormatPr baseColWidth="10" defaultRowHeight="14.4" x14ac:dyDescent="0.3"/>
  <cols>
    <col min="1" max="1" width="18.88671875" customWidth="1"/>
  </cols>
  <sheetData>
    <row r="1" spans="1:9" x14ac:dyDescent="0.3">
      <c r="A1" t="s">
        <v>0</v>
      </c>
      <c r="B1" t="s">
        <v>1</v>
      </c>
      <c r="C1" t="s">
        <v>2</v>
      </c>
      <c r="D1" t="s">
        <v>781</v>
      </c>
      <c r="E1" t="s">
        <v>782</v>
      </c>
      <c r="F1" t="s">
        <v>783</v>
      </c>
      <c r="G1" t="s">
        <v>784</v>
      </c>
      <c r="H1" t="s">
        <v>785</v>
      </c>
      <c r="I1" t="s">
        <v>786</v>
      </c>
    </row>
    <row r="2" spans="1:9" x14ac:dyDescent="0.3">
      <c r="A2" t="s">
        <v>787</v>
      </c>
      <c r="B2" t="s">
        <v>788</v>
      </c>
      <c r="C2">
        <v>2025</v>
      </c>
      <c r="D2" t="s">
        <v>789</v>
      </c>
      <c r="E2" t="s">
        <v>790</v>
      </c>
      <c r="F2">
        <v>1</v>
      </c>
      <c r="G2" t="s">
        <v>791</v>
      </c>
      <c r="H2" t="s">
        <v>792</v>
      </c>
      <c r="I2" t="s">
        <v>793</v>
      </c>
    </row>
    <row r="3" spans="1:9" x14ac:dyDescent="0.3">
      <c r="A3" t="s">
        <v>794</v>
      </c>
      <c r="B3" t="s">
        <v>795</v>
      </c>
      <c r="C3">
        <v>2024</v>
      </c>
      <c r="D3" t="s">
        <v>796</v>
      </c>
      <c r="E3" t="s">
        <v>790</v>
      </c>
      <c r="F3">
        <v>13</v>
      </c>
      <c r="G3" t="s">
        <v>797</v>
      </c>
      <c r="H3" t="s">
        <v>798</v>
      </c>
      <c r="I3" t="s">
        <v>799</v>
      </c>
    </row>
    <row r="4" spans="1:9" x14ac:dyDescent="0.3">
      <c r="A4" t="s">
        <v>800</v>
      </c>
      <c r="B4" t="s">
        <v>801</v>
      </c>
      <c r="C4">
        <v>2016</v>
      </c>
      <c r="E4" t="s">
        <v>802</v>
      </c>
      <c r="F4">
        <v>23</v>
      </c>
      <c r="G4" t="s">
        <v>803</v>
      </c>
      <c r="H4" t="s">
        <v>804</v>
      </c>
    </row>
    <row r="5" spans="1:9" x14ac:dyDescent="0.3">
      <c r="A5" t="s">
        <v>805</v>
      </c>
      <c r="B5" t="s">
        <v>806</v>
      </c>
      <c r="C5">
        <v>2023</v>
      </c>
      <c r="D5" t="s">
        <v>807</v>
      </c>
      <c r="E5" t="s">
        <v>790</v>
      </c>
      <c r="F5">
        <v>3</v>
      </c>
      <c r="G5" t="s">
        <v>808</v>
      </c>
      <c r="H5" t="s">
        <v>809</v>
      </c>
      <c r="I5" t="s">
        <v>810</v>
      </c>
    </row>
    <row r="6" spans="1:9" x14ac:dyDescent="0.3">
      <c r="A6" t="s">
        <v>811</v>
      </c>
      <c r="B6" t="s">
        <v>812</v>
      </c>
      <c r="C6">
        <v>2013</v>
      </c>
      <c r="D6" t="s">
        <v>813</v>
      </c>
      <c r="E6" t="s">
        <v>790</v>
      </c>
      <c r="F6">
        <v>67</v>
      </c>
      <c r="G6" t="s">
        <v>814</v>
      </c>
      <c r="H6" t="s">
        <v>804</v>
      </c>
      <c r="I6" t="s">
        <v>815</v>
      </c>
    </row>
    <row r="7" spans="1:9" x14ac:dyDescent="0.3">
      <c r="A7" t="s">
        <v>816</v>
      </c>
      <c r="B7" t="s">
        <v>817</v>
      </c>
      <c r="C7">
        <v>2022</v>
      </c>
      <c r="D7" t="s">
        <v>807</v>
      </c>
      <c r="E7" t="s">
        <v>790</v>
      </c>
      <c r="F7">
        <v>9</v>
      </c>
      <c r="G7" t="s">
        <v>818</v>
      </c>
      <c r="H7" t="s">
        <v>819</v>
      </c>
    </row>
    <row r="8" spans="1:9" x14ac:dyDescent="0.3">
      <c r="A8" t="s">
        <v>820</v>
      </c>
      <c r="B8" t="s">
        <v>821</v>
      </c>
      <c r="C8">
        <v>2024</v>
      </c>
      <c r="D8" t="s">
        <v>822</v>
      </c>
      <c r="E8" t="s">
        <v>790</v>
      </c>
      <c r="F8">
        <v>4</v>
      </c>
      <c r="G8" t="s">
        <v>823</v>
      </c>
      <c r="H8" t="s">
        <v>824</v>
      </c>
      <c r="I8" t="s">
        <v>825</v>
      </c>
    </row>
    <row r="9" spans="1:9" x14ac:dyDescent="0.3">
      <c r="A9" t="s">
        <v>826</v>
      </c>
      <c r="B9" t="s">
        <v>827</v>
      </c>
      <c r="C9">
        <v>2021</v>
      </c>
      <c r="D9" t="s">
        <v>828</v>
      </c>
      <c r="E9" t="s">
        <v>790</v>
      </c>
      <c r="F9">
        <v>39</v>
      </c>
      <c r="G9" t="s">
        <v>829</v>
      </c>
      <c r="I9" t="s">
        <v>830</v>
      </c>
    </row>
    <row r="10" spans="1:9" x14ac:dyDescent="0.3">
      <c r="A10" t="s">
        <v>831</v>
      </c>
      <c r="B10" t="s">
        <v>832</v>
      </c>
      <c r="C10">
        <v>2019</v>
      </c>
      <c r="D10" t="s">
        <v>833</v>
      </c>
      <c r="E10" t="s">
        <v>790</v>
      </c>
      <c r="F10">
        <v>63</v>
      </c>
      <c r="G10" t="s">
        <v>834</v>
      </c>
      <c r="H10" t="s">
        <v>835</v>
      </c>
      <c r="I10" t="s">
        <v>836</v>
      </c>
    </row>
    <row r="11" spans="1:9" x14ac:dyDescent="0.3">
      <c r="A11" t="s">
        <v>837</v>
      </c>
      <c r="B11" t="s">
        <v>838</v>
      </c>
      <c r="C11">
        <v>2025</v>
      </c>
      <c r="D11" t="s">
        <v>839</v>
      </c>
      <c r="E11" t="s">
        <v>790</v>
      </c>
      <c r="F11">
        <v>1</v>
      </c>
      <c r="G11" t="s">
        <v>840</v>
      </c>
      <c r="I11" t="s">
        <v>492</v>
      </c>
    </row>
    <row r="12" spans="1:9" x14ac:dyDescent="0.3">
      <c r="A12" t="s">
        <v>841</v>
      </c>
      <c r="B12" t="s">
        <v>842</v>
      </c>
      <c r="C12">
        <v>2021</v>
      </c>
      <c r="D12" t="s">
        <v>807</v>
      </c>
      <c r="E12" t="s">
        <v>790</v>
      </c>
      <c r="F12">
        <v>64</v>
      </c>
      <c r="G12" t="s">
        <v>829</v>
      </c>
      <c r="H12" t="s">
        <v>843</v>
      </c>
      <c r="I12" t="s">
        <v>92</v>
      </c>
    </row>
    <row r="13" spans="1:9" x14ac:dyDescent="0.3">
      <c r="A13" t="s">
        <v>844</v>
      </c>
      <c r="B13" t="s">
        <v>845</v>
      </c>
      <c r="C13">
        <v>2017</v>
      </c>
      <c r="D13" t="s">
        <v>846</v>
      </c>
      <c r="E13" t="s">
        <v>790</v>
      </c>
      <c r="F13">
        <v>82</v>
      </c>
      <c r="G13" t="s">
        <v>818</v>
      </c>
      <c r="H13" t="s">
        <v>847</v>
      </c>
      <c r="I13" t="s">
        <v>848</v>
      </c>
    </row>
    <row r="14" spans="1:9" x14ac:dyDescent="0.3">
      <c r="A14" t="s">
        <v>849</v>
      </c>
      <c r="B14" t="s">
        <v>850</v>
      </c>
      <c r="C14">
        <v>2025</v>
      </c>
      <c r="D14" t="s">
        <v>851</v>
      </c>
      <c r="E14" t="s">
        <v>790</v>
      </c>
      <c r="F14">
        <v>2</v>
      </c>
      <c r="G14" t="s">
        <v>852</v>
      </c>
      <c r="I14" t="s">
        <v>145</v>
      </c>
    </row>
    <row r="15" spans="1:9" x14ac:dyDescent="0.3">
      <c r="A15" t="s">
        <v>853</v>
      </c>
      <c r="B15" t="s">
        <v>854</v>
      </c>
      <c r="C15">
        <v>2025</v>
      </c>
      <c r="D15" t="s">
        <v>855</v>
      </c>
      <c r="E15" t="s">
        <v>790</v>
      </c>
      <c r="F15">
        <v>0</v>
      </c>
      <c r="G15" t="s">
        <v>856</v>
      </c>
      <c r="I15" t="s">
        <v>857</v>
      </c>
    </row>
    <row r="16" spans="1:9" x14ac:dyDescent="0.3">
      <c r="A16" t="s">
        <v>858</v>
      </c>
      <c r="B16" t="s">
        <v>859</v>
      </c>
      <c r="C16">
        <v>2020</v>
      </c>
      <c r="D16" t="s">
        <v>860</v>
      </c>
      <c r="E16" t="s">
        <v>790</v>
      </c>
      <c r="F16">
        <v>12</v>
      </c>
      <c r="G16" t="s">
        <v>861</v>
      </c>
      <c r="H16" t="s">
        <v>804</v>
      </c>
      <c r="I16" t="s">
        <v>862</v>
      </c>
    </row>
    <row r="17" spans="1:9" x14ac:dyDescent="0.3">
      <c r="A17" t="s">
        <v>863</v>
      </c>
      <c r="B17" t="s">
        <v>864</v>
      </c>
      <c r="C17">
        <v>2013</v>
      </c>
      <c r="D17" t="s">
        <v>865</v>
      </c>
      <c r="E17" t="s">
        <v>790</v>
      </c>
      <c r="F17">
        <v>36</v>
      </c>
      <c r="G17" t="s">
        <v>814</v>
      </c>
      <c r="H17" t="s">
        <v>866</v>
      </c>
      <c r="I17" t="s">
        <v>867</v>
      </c>
    </row>
    <row r="18" spans="1:9" x14ac:dyDescent="0.3">
      <c r="A18" t="s">
        <v>868</v>
      </c>
      <c r="B18" t="s">
        <v>869</v>
      </c>
      <c r="C18">
        <v>2024</v>
      </c>
      <c r="D18" t="s">
        <v>870</v>
      </c>
      <c r="E18" t="s">
        <v>790</v>
      </c>
      <c r="F18">
        <v>3</v>
      </c>
      <c r="G18" t="s">
        <v>834</v>
      </c>
      <c r="H18" t="s">
        <v>871</v>
      </c>
      <c r="I18" t="s">
        <v>872</v>
      </c>
    </row>
    <row r="19" spans="1:9" x14ac:dyDescent="0.3">
      <c r="A19" t="s">
        <v>873</v>
      </c>
      <c r="B19" t="s">
        <v>874</v>
      </c>
      <c r="C19">
        <v>2023</v>
      </c>
      <c r="E19" t="s">
        <v>802</v>
      </c>
      <c r="G19" t="s">
        <v>797</v>
      </c>
      <c r="H19" t="s">
        <v>875</v>
      </c>
    </row>
    <row r="20" spans="1:9" x14ac:dyDescent="0.3">
      <c r="A20" t="s">
        <v>876</v>
      </c>
      <c r="B20" t="s">
        <v>877</v>
      </c>
      <c r="C20">
        <v>2021</v>
      </c>
      <c r="D20" t="s">
        <v>878</v>
      </c>
      <c r="E20" t="s">
        <v>790</v>
      </c>
      <c r="F20">
        <v>2</v>
      </c>
      <c r="G20" t="s">
        <v>834</v>
      </c>
      <c r="H20" t="s">
        <v>879</v>
      </c>
      <c r="I20" t="s">
        <v>880</v>
      </c>
    </row>
    <row r="21" spans="1:9" x14ac:dyDescent="0.3">
      <c r="A21" t="s">
        <v>881</v>
      </c>
      <c r="B21" t="s">
        <v>882</v>
      </c>
      <c r="C21">
        <v>2025</v>
      </c>
      <c r="D21" t="s">
        <v>883</v>
      </c>
      <c r="E21" t="s">
        <v>790</v>
      </c>
      <c r="F21">
        <v>0</v>
      </c>
      <c r="G21" t="s">
        <v>823</v>
      </c>
      <c r="H21" t="s">
        <v>884</v>
      </c>
      <c r="I21" t="s">
        <v>885</v>
      </c>
    </row>
    <row r="22" spans="1:9" x14ac:dyDescent="0.3">
      <c r="A22" t="s">
        <v>886</v>
      </c>
      <c r="B22" t="s">
        <v>887</v>
      </c>
      <c r="C22">
        <v>2015</v>
      </c>
      <c r="D22" t="s">
        <v>807</v>
      </c>
      <c r="E22" t="s">
        <v>790</v>
      </c>
      <c r="F22">
        <v>50</v>
      </c>
      <c r="G22" t="s">
        <v>888</v>
      </c>
      <c r="H22" t="s">
        <v>889</v>
      </c>
      <c r="I22" t="s">
        <v>890</v>
      </c>
    </row>
    <row r="23" spans="1:9" x14ac:dyDescent="0.3">
      <c r="A23" t="s">
        <v>891</v>
      </c>
      <c r="B23" t="s">
        <v>892</v>
      </c>
      <c r="C23">
        <v>2014</v>
      </c>
      <c r="D23" t="s">
        <v>893</v>
      </c>
      <c r="E23" t="s">
        <v>790</v>
      </c>
      <c r="F23">
        <v>58</v>
      </c>
      <c r="G23" t="s">
        <v>840</v>
      </c>
      <c r="H23" t="s">
        <v>894</v>
      </c>
      <c r="I23" t="s">
        <v>895</v>
      </c>
    </row>
    <row r="24" spans="1:9" x14ac:dyDescent="0.3">
      <c r="A24" t="s">
        <v>896</v>
      </c>
      <c r="B24" t="s">
        <v>897</v>
      </c>
      <c r="C24">
        <v>2018</v>
      </c>
      <c r="E24" t="s">
        <v>802</v>
      </c>
      <c r="F24">
        <v>2</v>
      </c>
      <c r="G24" t="s">
        <v>814</v>
      </c>
      <c r="H24" t="s">
        <v>898</v>
      </c>
    </row>
    <row r="25" spans="1:9" x14ac:dyDescent="0.3">
      <c r="A25" t="s">
        <v>899</v>
      </c>
      <c r="B25" t="s">
        <v>900</v>
      </c>
      <c r="C25">
        <v>2022</v>
      </c>
      <c r="D25" t="s">
        <v>901</v>
      </c>
      <c r="E25" t="s">
        <v>790</v>
      </c>
      <c r="F25">
        <v>8</v>
      </c>
      <c r="G25" t="s">
        <v>902</v>
      </c>
      <c r="H25" t="s">
        <v>903</v>
      </c>
      <c r="I25" t="s">
        <v>904</v>
      </c>
    </row>
    <row r="26" spans="1:9" x14ac:dyDescent="0.3">
      <c r="A26" t="s">
        <v>905</v>
      </c>
      <c r="B26" t="s">
        <v>906</v>
      </c>
      <c r="C26">
        <v>2025</v>
      </c>
      <c r="D26" t="s">
        <v>907</v>
      </c>
      <c r="E26" t="s">
        <v>790</v>
      </c>
      <c r="F26">
        <v>0</v>
      </c>
      <c r="G26" t="s">
        <v>908</v>
      </c>
      <c r="I26" t="s">
        <v>664</v>
      </c>
    </row>
    <row r="27" spans="1:9" x14ac:dyDescent="0.3">
      <c r="A27" t="s">
        <v>909</v>
      </c>
      <c r="B27" t="s">
        <v>788</v>
      </c>
      <c r="C27">
        <v>2025</v>
      </c>
      <c r="D27" t="s">
        <v>910</v>
      </c>
      <c r="E27" t="s">
        <v>790</v>
      </c>
      <c r="F27">
        <v>2</v>
      </c>
      <c r="G27" t="s">
        <v>791</v>
      </c>
      <c r="H27" t="s">
        <v>894</v>
      </c>
      <c r="I27" t="s">
        <v>911</v>
      </c>
    </row>
    <row r="28" spans="1:9" x14ac:dyDescent="0.3">
      <c r="A28" t="s">
        <v>912</v>
      </c>
      <c r="B28" t="s">
        <v>913</v>
      </c>
      <c r="C28">
        <v>2025</v>
      </c>
      <c r="D28" t="s">
        <v>914</v>
      </c>
      <c r="E28" t="s">
        <v>790</v>
      </c>
      <c r="F28">
        <v>0</v>
      </c>
      <c r="G28" t="s">
        <v>818</v>
      </c>
    </row>
    <row r="29" spans="1:9" x14ac:dyDescent="0.3">
      <c r="A29" t="s">
        <v>915</v>
      </c>
      <c r="B29" t="s">
        <v>916</v>
      </c>
      <c r="C29">
        <v>2022</v>
      </c>
      <c r="D29" t="s">
        <v>855</v>
      </c>
      <c r="E29" t="s">
        <v>790</v>
      </c>
      <c r="F29">
        <v>5</v>
      </c>
      <c r="G29" t="s">
        <v>791</v>
      </c>
      <c r="H29" t="s">
        <v>917</v>
      </c>
      <c r="I29" t="s">
        <v>918</v>
      </c>
    </row>
  </sheetData>
  <autoFilter ref="A1:I29" xr:uid="{63A4D3F1-AC14-4FBF-9F06-5A47518AF10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Screening</vt:lpstr>
      <vt:lpstr>Eligibility</vt:lpstr>
      <vt:lpstr>Inclusion</vt:lpstr>
      <vt:lpstr>Corpus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Mariam Bouzid</cp:lastModifiedBy>
  <dcterms:created xsi:type="dcterms:W3CDTF">2026-05-25T16:31:37Z</dcterms:created>
  <dcterms:modified xsi:type="dcterms:W3CDTF">2026-05-28T11:14:05Z</dcterms:modified>
</cp:coreProperties>
</file>